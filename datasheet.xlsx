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heet" sheetId="1" r:id="rId5"/>
    <sheet state="hidden" name="KappaCalc" sheetId="2" r:id="rId6"/>
    <sheet state="visible" name="Agreement and Disagreement" sheetId="3" r:id="rId7"/>
    <sheet state="visible" name="Plot" sheetId="4" r:id="rId8"/>
    <sheet state="visible" name="Kendall" sheetId="5" r:id="rId9"/>
    <sheet state="visible" name="Quality Distribution" sheetId="6" r:id="rId10"/>
    <sheet state="visible" name="Correctness Distribution" sheetId="7" r:id="rId11"/>
    <sheet state="visible" name="Screened, Extracted and Matched" sheetId="8" r:id="rId12"/>
  </sheets>
  <definedNames/>
  <calcPr/>
</workbook>
</file>

<file path=xl/sharedStrings.xml><?xml version="1.0" encoding="utf-8"?>
<sst xmlns="http://schemas.openxmlformats.org/spreadsheetml/2006/main" count="680" uniqueCount="371">
  <si>
    <t>Quality (1=not achieved, 2=major deficits, 3=minor deficits, 4=best)</t>
  </si>
  <si>
    <t>Correctness (1=incorrect, 2=major issues, 3=minor issues, 4=correct)</t>
  </si>
  <si>
    <t>Mission requirement
(generated by the LLM)</t>
  </si>
  <si>
    <t>Number of Tries</t>
  </si>
  <si>
    <t>Comb. avg. quality rating</t>
  </si>
  <si>
    <t>Prompt Engineer</t>
  </si>
  <si>
    <t>Evaluator</t>
  </si>
  <si>
    <t>Avg correctness rating</t>
  </si>
  <si>
    <t>Distance of Disagreement</t>
  </si>
  <si>
    <t>BT ID</t>
  </si>
  <si>
    <t>Avg. quality rating</t>
  </si>
  <si>
    <t>Atomicity</t>
  </si>
  <si>
    <t>Ambiguity</t>
  </si>
  <si>
    <t>Completeness</t>
  </si>
  <si>
    <t>Usability</t>
  </si>
  <si>
    <t>Consistency</t>
  </si>
  <si>
    <t>Comment</t>
  </si>
  <si>
    <t>Rating</t>
  </si>
  <si>
    <t>Prompts</t>
  </si>
  <si>
    <t>Cycle 1</t>
  </si>
  <si>
    <t>entry_6</t>
  </si>
  <si>
    <t>https://github.com/isselab/2025-models-prompt-engineering-results/blob/main/experiment_samples/cycle_1/mrq_entry_6.txt</t>
  </si>
  <si>
    <t>Misinterpreted code references. The LLM also included unecessary additional information (Behavioral Flow Reference Mapping) presented in an undesired format. Readability was bad</t>
  </si>
  <si>
    <t>The requirement R11 addresses two atomic functions: “position its arms for grasping” and “navigate to the computed inverse pose”. It is possible to improve the readability of the requirements to enable non-technical users to understand the behavior captured.</t>
  </si>
  <si>
    <t>ask for help may not always be from a human. that detail is not entirely correct</t>
  </si>
  <si>
    <t>https://github.com/isselab/2025-models-prompt-engineering-results/blob/main/experiment_samples/cycle_1/prompt_entry_6.txt</t>
  </si>
  <si>
    <t>entry_64</t>
  </si>
  <si>
    <t>https://github.com/isselab/2025-models-prompt-engineering-results/blob/main/experiment_samples/cycle_1/mrq_entry_64.txt</t>
  </si>
  <si>
    <t>code references not consistently applied. readability was bad (usability &lt;)</t>
  </si>
  <si>
    <t>It is possible to improve the readability of the requirements to enable non-technical users to understand the behavior captured. R2 and R8 are redundant.</t>
  </si>
  <si>
    <t>REQ-7 not an accurate requirement. "interesting" cannot be readily inferred from visualizing the BT. REQ-2 and REQ-8 are the same (i.e. redundancy). REQ-13 not so accurate</t>
  </si>
  <si>
    <t>R2 and R8 are redundant.</t>
  </si>
  <si>
    <t>https://github.com/isselab/2025-models-prompt-engineering-results/blob/main/experiment_samples/cycle_1/prompt_entry_64.txt</t>
  </si>
  <si>
    <t>entry_73</t>
  </si>
  <si>
    <t>https://github.com/isselab/2025-models-prompt-engineering-results/blob/main/experiment_samples/cycle_1/mrq_entry_73.txt</t>
  </si>
  <si>
    <t>Note: The BT XML misspells “RetryUntilSuccessful” as “RetryUntilSuccesful,” but LLM uses the intended meaning. Readability was bad</t>
  </si>
  <si>
    <t>In my opinion, some of the inferences may lead to vague requirements (minor incompleteness) due to a lack of information. For example, in R16, how would 'stable orientation' be verified (moderate ambiguity) ? It is possible to improve the readability of the requirements to enable non-technical users to understand the behavior captured.</t>
  </si>
  <si>
    <t>REQ-3: "reports a SUCCESS condition" is not so accurate. More like a SUCCESS status is returned. A lot of repetirion of concepts. Alot of inferred condition added to action, which may not necessarily be accurate.</t>
  </si>
  <si>
    <t>R2, R5, R8 and R11 are difficult to understand. It is necessary to reorganize them. It is possible to improve the readability of the requirements to enable users unambiguously understand the behavior captured</t>
  </si>
  <si>
    <t>https://github.com/isselab/2025-models-prompt-engineering-results/blob/main/experiment_samples/cycle_1/prompt_entry_73.txt</t>
  </si>
  <si>
    <t>entry_266</t>
  </si>
  <si>
    <t>https://github.com/isselab/2025-models-prompt-engineering-results/blob/main/experiment_samples/cycle_1/mrq_entry_266.txt</t>
  </si>
  <si>
    <t>Code reference misinterpretation. R5 not atomic at all. Bad usability</t>
  </si>
  <si>
    <t>R5 is not atomic. It is not explicitly stated which inputs of one action are outputs of another. In my opinion, this point could be improved if it is a priority. It is possible to improve the readability of the requirements to enable non-technical users to understand the behavior captured.</t>
  </si>
  <si>
    <t>sequence is not explicitly state and input paramaters are mentioned but not defined as input parameters.</t>
  </si>
  <si>
    <t>https://github.com/isselab/2025-models-prompt-engineering-results/blob/main/experiment_samples/cycle_1/prompt_entry_266.txt</t>
  </si>
  <si>
    <t>entry_317</t>
  </si>
  <si>
    <t>https://github.com/isselab/2025-models-prompt-engineering-results/blob/main/experiment_samples/cycle_1/mrq_entry_317.txt</t>
  </si>
  <si>
    <t>Inconsistent language: "robot" and "system" mix in wording. Statements can be further decomposed into multiples. There are standalone requiremnts that are not labelled. Poor usabilty</t>
  </si>
  <si>
    <t>Different linguistic patterns are used in the statements. This makes it difficult to understand the requirements in natural language. Some statements may be split into one or more statements. It is possible to improve the readability of the requirements to enable non-technical users to understand the behavior captured.</t>
  </si>
  <si>
    <t>Nuances like nested sequences and roud robin recovery techniques are not explained properly from the staments provided. Vague explanation of actions could lead to misinterpretations</t>
  </si>
  <si>
    <t>The statements describe all the nodes of the BT, but the lack of standardization in the language used makes it difficult to validate their correctness.</t>
  </si>
  <si>
    <t>https://github.com/isselab/2025-models-prompt-engineering-results/blob/main/experiment_samples/cycle_1/prompt_entry_317.txt</t>
  </si>
  <si>
    <t>entry_375</t>
  </si>
  <si>
    <t>https://github.com/isselab/2025-models-prompt-engineering-results/blob/main/experiment_samples/cycle_1/mrq_entry_375.txt</t>
  </si>
  <si>
    <t>one instance of "the system" instead of "the robot". Atomicity and usability is violated</t>
  </si>
  <si>
    <t xml:space="preserve">R3 is not clear. R2 and R3 are not atomic. The statements interchange the terms robot and system. It is possible to improve the readability of the requirements to enable non-technical users to understand the behavior captured. </t>
  </si>
  <si>
    <t>Not the best accuracy and general presentation is bad so the understandability is affected and this may cause inferences to be made on the behavior exhibited.</t>
  </si>
  <si>
    <t>R3 is not clear. The parameters "barout", "baz", and "fooin" are not explicitly defined, which makes them difficult to understand.</t>
  </si>
  <si>
    <t>https://github.com/isselab/2025-models-prompt-engineering-results/blob/main/experiment_samples/cycle_1/prompt_entry_375.txt</t>
  </si>
  <si>
    <t>entry_411</t>
  </si>
  <si>
    <t>https://github.com/isselab/2025-models-prompt-engineering-results/blob/main/experiment_samples/cycle_1/mrq_entry_411.txt</t>
  </si>
  <si>
    <t>R12, R15, R16 are not atomic. Not usable. Code references misunderstood and it makes the text look clumsy. Usability was poor; a mix of code and natural language</t>
  </si>
  <si>
    <t xml:space="preserve">Some statements are not atomic, for example, R12. The different formats of the statements make it difficult to interpret the description of the requirements in natural language. I think the lack of standardization in the text can lead to ambiguity.  It is possible to improve the readability of the requirements to enable non-technical users to understand the behavior captured. </t>
  </si>
  <si>
    <t>The presentation is not organized and is hard to follow; consequently, the described behavior might be misinterpreted</t>
  </si>
  <si>
    <t>https://github.com/isselab/2025-models-prompt-engineering-results/blob/main/experiment_samples/cycle_1/prompt_entry_411.txt</t>
  </si>
  <si>
    <t>entry_457</t>
  </si>
  <si>
    <t>https://github.com/isselab/2025-models-prompt-engineering-results/blob/main/experiment_samples/cycle_1/mrq_entry_457.txt</t>
  </si>
  <si>
    <t>R11 AND R12 atomicity issues. Also no code references included. "if impassable" sounds a little contradictory. Poor presentation</t>
  </si>
  <si>
    <t xml:space="preserve">The wording mixes 'system' and 'vehicle'. Furthermore, requirements like R4, R11, and R12 should be broken down into atomic statements. It is possible to improve the readability of the requirements to enable non-technical users to understand the behavior captured. </t>
  </si>
  <si>
    <t>The lack of standardization in the language used makes it difficult to validate their correctness.</t>
  </si>
  <si>
    <t>https://github.com/isselab/2025-models-prompt-engineering-results/blob/main/experiment_samples/cycle_1/prompt_entry_457.txt</t>
  </si>
  <si>
    <t>entry_467</t>
  </si>
  <si>
    <t>https://github.com/isselab/2025-models-prompt-engineering-results/blob/main/experiment_samples/cycle_1/mrq_entry_467.txt</t>
  </si>
  <si>
    <t>"the object" instead of the robot. Code references that are not easily understandable. Poor presentation</t>
  </si>
  <si>
    <t xml:space="preserve">The statements mix the words 'system', 'robot', 'vehicle', and 'manipulator'. It is possible to improve the readability of the requirements. I think some statements are not atomic, for example, R1 and R5. </t>
  </si>
  <si>
    <t>The interpreted behavior is correct; however, mixing terminology can lead to misinterpretation (e.g., 'system', 'robot', 'vehicle', and 'manipulator').</t>
  </si>
  <si>
    <t>https://github.com/isselab/2025-models-prompt-engineering-results/blob/main/experiment_samples/cycle_1/prompt_entry_467.txt</t>
  </si>
  <si>
    <t>entry_540</t>
  </si>
  <si>
    <t>https://github.com/isselab/2025-models-prompt-engineering-results/blob/main/experiment_samples/cycle_1/mrq_entry_540.txt</t>
  </si>
  <si>
    <t>too much contextual info given. Minor ordering issue. Poorly presented. thus not usable</t>
  </si>
  <si>
    <t>The description can be simplified in terms of technical detail. Redundant info make it long.</t>
  </si>
  <si>
    <t>key execution nuance missed in interpreting SequencStar</t>
  </si>
  <si>
    <t>https://github.com/isselab/2025-models-prompt-engineering-results/blob/main/experiment_samples/cycle_1/prompt_entry_540.txt</t>
  </si>
  <si>
    <t>Cycle 2</t>
  </si>
  <si>
    <t>entry_150</t>
  </si>
  <si>
    <t>https://github.com/isselab/2025-models-prompt-engineering-results/blob/main/experiment_samples/cycle_2/mrq_entry_150.txt</t>
  </si>
  <si>
    <t>Some statements are not atomic enough</t>
  </si>
  <si>
    <t>It is possible to improve the readability of the requirements to enable users unambiguously understand the behavior captured</t>
  </si>
  <si>
    <t>https://github.com/isselab/2025-models-prompt-engineering-results/blob/main/experiment_samples/cycle_2/prompt_entry_150.txt</t>
  </si>
  <si>
    <t>entry_220</t>
  </si>
  <si>
    <t>https://github.com/isselab/2025-models-prompt-engineering-results/blob/main/experiment_samples/cycle_2/mrq_entry_220.txt</t>
  </si>
  <si>
    <t>Few statements like (Global Fallback Path Handling 6.) are not atomic, some terminilogies are ambiguous without prior context from an overview</t>
  </si>
  <si>
    <t>The presentation is not organized and is hard to follow. It is possible to improve the readability of the requirements to enable users unambiguously understand the behavior captured. Some statements are not atomic (e.g. Lane Keeping State 4.)</t>
  </si>
  <si>
    <t xml:space="preserve">Some ambiguities in the sentence formulation may affect correctness slightly </t>
  </si>
  <si>
    <t>The description could be improved to make the content clearer.</t>
  </si>
  <si>
    <t>https://github.com/isselab/2025-models-prompt-engineering-results/blob/main/experiment_samples/cycle_2/prompt_entry_220.txt</t>
  </si>
  <si>
    <t>entry_272</t>
  </si>
  <si>
    <t>https://github.com/isselab/2025-models-prompt-engineering-results/blob/main/experiment_samples/cycle_2/mrq_entry_272.txt</t>
  </si>
  <si>
    <t>I think maybe MRQ2 can be decomposed into more than one atomic statement. The statement seems complex and loaded. Not very usable in sentence formulation and  presentation. Incomplete without an overview</t>
  </si>
  <si>
    <t xml:space="preserve"> It is possible to improve the readability of the requirements to enable users unambiguously understand the behavior captured.</t>
  </si>
  <si>
    <t>https://github.com/isselab/2025-models-prompt-engineering-results/blob/main/experiment_samples/cycle_2/prompt_entry_272.txt</t>
  </si>
  <si>
    <t>entry_418</t>
  </si>
  <si>
    <t>https://github.com/isselab/2025-models-prompt-engineering-results/blob/main/experiment_samples/cycle_2/mrq_entry_418.txt</t>
  </si>
  <si>
    <t>Usability still a challenge</t>
  </si>
  <si>
    <t>Some statements are not atomic (e.g. R22). It is possible to improve the readability of the requirements to enable users unambiguously understand the behavior captured.</t>
  </si>
  <si>
    <t>https://github.com/isselab/2025-models-prompt-engineering-results/blob/main/experiment_samples/cycle_2/prompt_entry_418.txt</t>
  </si>
  <si>
    <t>entry_451</t>
  </si>
  <si>
    <t>https://github.com/isselab/2025-models-prompt-engineering-results/blob/main/experiment_samples/cycle_2/mrq_entry_451.txt</t>
  </si>
  <si>
    <t>MRQ3 not atomic. Not very usable; highly technical tone. Remembrance in MRQ13 not round specific. "ends unsuccessfully" is quite ambiguous and contradictory.</t>
  </si>
  <si>
    <t>It is possible to improve the readability of the requirements to enable users unambiguously understand the behavior captured. Some statements are not atomic (e.g. R3)</t>
  </si>
  <si>
    <t>https://github.com/isselab/2025-models-prompt-engineering-results/blob/main/experiment_samples/cycle_2/prompt_entry_451.txt</t>
  </si>
  <si>
    <t>entry_475</t>
  </si>
  <si>
    <t>https://github.com/isselab/2025-models-prompt-engineering-results/blob/main/experiment_samples/cycle_2/mrq_entry_475.txt</t>
  </si>
  <si>
    <t>Instances of SequenceStar vaguely described. Poor usability. "the Fallback continues to other children (none exist)"---contradiction</t>
  </si>
  <si>
    <t>I didn't understand REQ19 (text "none exist"). Is this a modeling issue?: "19. If the SequenceStar inside the Fallback returns FAILURE, the Fallback continues to other children (none exist), resulting in FAILURE." It is possible to improve the readability of the requirements</t>
  </si>
  <si>
    <t>https://github.com/isselab/2025-models-prompt-engineering-results/blob/main/experiment_samples/cycle_2/prompt_entry_475.txt</t>
  </si>
  <si>
    <t>entry_50</t>
  </si>
  <si>
    <t>https://github.com/isselab/2025-models-prompt-engineering-results/blob/main/experiment_samples/cycle_2/mrq_entry_50.txt</t>
  </si>
  <si>
    <t xml:space="preserve">MRQ 5 &amp;6 display a repeatition in behavior. No general context orvierview of BT behavior; These affect usability drastically. Requirements are quite technical. </t>
  </si>
  <si>
    <t>https://github.com/isselab/2025-models-prompt-engineering-results/blob/main/experiment_samples/cycle_2/prompt_entry_50.txt</t>
  </si>
  <si>
    <t>entry_511</t>
  </si>
  <si>
    <t>https://github.com/isselab/2025-models-prompt-engineering-results/blob/main/experiment_samples/cycle_2/mrq_entry_511.txt</t>
  </si>
  <si>
    <t>MRQ9 and MRQ17 are both ambiguous. both use the phrase "repeating as necessary" with no maximum iteration count or guard condition. Only mrqs 3, 5, 11, 13, 19, 22 are truly atomic. Mostly consistent aside a couple of consistency issues</t>
  </si>
  <si>
    <t>Very technical terms are being used. Understandability could be improved for non-technical stakeholders.</t>
  </si>
  <si>
    <t>"repeating as necessary" phrase lacks precision</t>
  </si>
  <si>
    <t>https://github.com/isselab/2025-models-prompt-engineering-results/blob/main/experiment_samples/cycle_2/prompt_entry_511.txt</t>
  </si>
  <si>
    <t>entry_529</t>
  </si>
  <si>
    <t>https://github.com/isselab/2025-models-prompt-engineering-results/blob/main/experiment_samples/cycle_2/mrq_entry_529.txt</t>
  </si>
  <si>
    <t>Apart from MRRQ2 and 7 which are strongly atomic, the rest are moderately atomic. Ambiguity points: "1.0" has not unit. Does "halt" cancel execution or return failure or both? wait doesnt specify if its infinity or timed. MRQ 1 lacks the specific actions that should be executed.</t>
  </si>
  <si>
    <t>ambiguity points stated impact correctness score</t>
  </si>
  <si>
    <t>https://github.com/isselab/2025-models-prompt-engineering-results/blob/main/experiment_samples/cycle_2/prompt_entry_529.txt</t>
  </si>
  <si>
    <t>entry_531</t>
  </si>
  <si>
    <t>https://github.com/isselab/2025-models-prompt-engineering-results/blob/main/experiment_samples/cycle_2/mrq_entry_531.txt</t>
  </si>
  <si>
    <t>MRQ9 could be split into subs. "is needed" is ambiguous and implicit (how that is determined, not specified). "specified smoother" (MRQ8) is too vague. round-robin is described implicitly. MRQ12 is not usable and describes a behavior that is not found in visualizer; reactivity seems like a full retry</t>
  </si>
  <si>
    <t>Some statements are not atomic, for example, R6. In general, the requirements are not easy to understand; for example, R6, R9, R11, and R14 are particularly technical. My suggestion is to make them less technical.</t>
  </si>
  <si>
    <t>Some of the quality discrepancies detected impact the correctness of the description</t>
  </si>
  <si>
    <t>https://github.com/isselab/2025-models-prompt-engineering-results/blob/main/experiment_samples/cycle_2/prompt_entry_531.txt</t>
  </si>
  <si>
    <t>Cycle 3</t>
  </si>
  <si>
    <t>entry_58</t>
  </si>
  <si>
    <t>https://github.com/isselab/2025-models-prompt-engineering-results/blob/main/experiment_samples/cycle_3/mrq_entry_58.txt</t>
  </si>
  <si>
    <t>A few phrases lack precision:"Wait until go1/go2 completes","Report mission failure". Running status not covered. Req 1 uses the word "sequence" but the actual logic could be percieved as conditional branching i.e. not wrong, but slightly misleadingmisleading.</t>
  </si>
  <si>
    <t>This description does not include details about go1 and go2. This affects completeness. It is possible to improve the readability of the requirements to enable users unambiguously understand the behavior captured</t>
  </si>
  <si>
    <t>https://github.com/isselab/2025-models-prompt-engineering-results/blob/main/experiment_samples/cycle_3/prompt_entry_58.txt</t>
  </si>
  <si>
    <t>entry_77</t>
  </si>
  <si>
    <t>https://github.com/isselab/2025-models-prompt-engineering-results/blob/main/experiment_samples/cycle_3/mrq_entry_77.txt</t>
  </si>
  <si>
    <t>MRQ8 can be split into a main and sub. MRQ7: "stop the current sequence and terminate the current cycle";oes terminating a cycle mean the mission proceeds to the next cycle, or halts entirely?Its also not clear what a cycle is. Sounds very technical and presentation makes readability slightly difficult. "Three complete cycles" (MRQ1), "three successfully executed" (MRQ8), and "three successful cycles" (MRQ9) all phrase the same condition differently, introducing subtle interpretive risk.</t>
  </si>
  <si>
    <t>Very technical terms are being used. Understandability could be improved for non-technical stakeholders. R8 is not atomic.</t>
  </si>
  <si>
    <t>Interpretation risk in 8 and 9 dents the correctness a bit</t>
  </si>
  <si>
    <t>https://github.com/isselab/2025-models-prompt-engineering-results/blob/main/experiment_samples/cycle_3/prompt_entry_77.txt</t>
  </si>
  <si>
    <t>entry_92</t>
  </si>
  <si>
    <t>https://github.com/isselab/2025-models-prompt-engineering-results/blob/main/experiment_samples/cycle_3/mrq_entry_92.txt</t>
  </si>
  <si>
    <t>MRQ29 can be reforemulated into two requirements. No timeout policy for continuously evaluated conditions. Any and all not used consistently. Usability level not strong enough to realsie mission in detail.</t>
  </si>
  <si>
    <t>The output may be simplified. Redundant rules for similar behaviors could be optimized. R29 and R33 are not atomic. It is possible to improve the readability of the requirements to enable users unambiguously understand the behavior captured</t>
  </si>
  <si>
    <t>https://github.com/isselab/2025-models-prompt-engineering-results/blob/main/experiment_samples/cycle_3/prompt_entry_92.txt</t>
  </si>
  <si>
    <t>entry_124</t>
  </si>
  <si>
    <t>https://github.com/isselab/2025-models-prompt-engineering-results/blob/main/experiment_samples/cycle_3/mrq_entry_124.txt</t>
  </si>
  <si>
    <t>Repetition is specified in categorised list heading instead of being fused into description. Failure state handing (11-28) not addressed.</t>
  </si>
  <si>
    <t>Very technical terms are being used. Understandability could be improved  for non-technical stakeholders.</t>
  </si>
  <si>
    <t>Some execution states are not mentioned but implied and left to user interpretation so this could be interpreted as incomplete and imprecise</t>
  </si>
  <si>
    <t>https://github.com/isselab/2025-models-prompt-engineering-results/blob/main/experiment_samples/cycle_3/prompt_entry_124.txt</t>
  </si>
  <si>
    <t>entry_155</t>
  </si>
  <si>
    <t>https://github.com/isselab/2025-models-prompt-engineering-results/blob/main/experiment_samples/cycle_3/mrq_entry_155.txt</t>
  </si>
  <si>
    <t>The phrase "Wait until the action completes before proceeding" sounds ambiguous</t>
  </si>
  <si>
    <t>Usability can be improved  for non-technical stakeholders. I think improving readability can prevent ambiguities.</t>
  </si>
  <si>
    <t>https://github.com/isselab/2025-models-prompt-engineering-results/blob/main/experiment_samples/cycle_3/prompt_entry_155.txt</t>
  </si>
  <si>
    <t>entry_248</t>
  </si>
  <si>
    <t>https://github.com/isselab/2025-models-prompt-engineering-results/blob/main/experiment_samples/cycle_3/mrq_entry_248.txt</t>
  </si>
  <si>
    <t>MRQ3,16,21 can be split into multiple sentences. MRQ22: "restart the sequence from the first action"; contradicts SequenceStar behavior. MRQ24 retry count comes off as ambiguous. Is the initial try part of the six retries?</t>
  </si>
  <si>
    <t>"complete the mission" in R25 and "terminate the mission" in R26 seem to be the same thing, but they are not. I think this can lead to ambiguity. R21 can be rearranged in terms of atomicity. This matches BT entry_418 (Cycle 2); however, the description of the requirements has been refined</t>
  </si>
  <si>
    <t>https://github.com/isselab/2025-models-prompt-engineering-results/blob/main/experiment_samples/cycle_3/prompt_entry_248.txt</t>
  </si>
  <si>
    <t>entry_256</t>
  </si>
  <si>
    <t>https://github.com/isselab/2025-models-prompt-engineering-results/blob/main/experiment_samples/cycle_3/mrq_entry_256.txt</t>
  </si>
  <si>
    <t>does the mission then proceed to the next cycle, or does it abort all remaining cycles when it terminates sequence execution for that cycle?; A bit of ambiguity there</t>
  </si>
  <si>
    <t>"inout ports" in R11 can be rewritten as "in/out ports". R11 is not atomic. Very technical terms are being used. Understandability could be improved for non-technical stakeholders.</t>
  </si>
  <si>
    <t>https://github.com/isselab/2025-models-prompt-engineering-results/blob/main/experiment_samples/cycle_3/prompt_entry_256.txt</t>
  </si>
  <si>
    <t>entry_345</t>
  </si>
  <si>
    <t>https://github.com/isselab/2025-models-prompt-engineering-results/blob/main/experiment_samples/cycle_3/mrq_entry_345.txt</t>
  </si>
  <si>
    <t>Presentation hampers readability and understandability to a significant extent</t>
  </si>
  <si>
    <t>R2, R5, R8 and R11 are difficult to understand. Maybe we could reorganize them. It is possible to improve the readability of the requirements to enable users unambiguously understand the behavior captured</t>
  </si>
  <si>
    <t>https://github.com/isselab/2025-models-prompt-engineering-results/blob/main/experiment_samples/cycle_3/prompt_entry_345.txt</t>
  </si>
  <si>
    <t>entry_380</t>
  </si>
  <si>
    <t>https://github.com/isselab/2025-models-prompt-engineering-results/blob/main/experiment_samples/cycle_3/mrq_entry_380.txt</t>
  </si>
  <si>
    <t>MRQ6 is redundant. MRQ4 and 8 overlap. Seems readable and undestandable. Some strict details are missing but it doesnt hamper reproducibility</t>
  </si>
  <si>
    <t>The parameters "barout", "baz", and "fooin" were omitted. This BT is very similar to entry_375 (Cycle 1). Usability can be improved  for non-technical stakeholders. I think improving readability can prevent ambiguities</t>
  </si>
  <si>
    <t>Lack of hard parameters makes the correctness a bit fuzzy.</t>
  </si>
  <si>
    <t>It describes the expected behavior, but the parameters "barout", "baz", and "fooin" were omitted.</t>
  </si>
  <si>
    <t>https://github.com/isselab/2025-models-prompt-engineering-results/blob/main/experiment_samples/cycle_3/prompt_entry_380.txt</t>
  </si>
  <si>
    <t>entry_552</t>
  </si>
  <si>
    <t>https://github.com/isselab/2025-models-prompt-engineering-results/blob/main/experiment_samples/cycle_3/mrq_entry_552.txt</t>
  </si>
  <si>
    <t>A few redundant phrases and expressions. Some expressions might not be interpreted precisely</t>
  </si>
  <si>
    <t xml:space="preserve">Some requirements are hard to understand without context or more details. For instance, in R6, "mark them as unoccupied' is vague, and 'loci' seems like technical jargon. RQ6 (1-5) can be rearranged in terms of atomicity. </t>
  </si>
  <si>
    <t>https://github.com/isselab/2025-models-prompt-engineering-results/blob/main/experiment_samples/cycle_3/prompt_entry_552.txt</t>
  </si>
  <si>
    <t>Cycle 4</t>
  </si>
  <si>
    <t>entry_32</t>
  </si>
  <si>
    <t>https://github.com/isselab/2025-models-prompt-engineering-results/blob/main/experiment_samples/cycle_4/mrq_entry_32.txt</t>
  </si>
  <si>
    <t>Mission scope kept narrow and concise. Slight tradeoff of atomicity for fluency. More noticable fluency. "before proceeding" could me misinterpreted to mean other actions exist, slighly contadicting the last statement.</t>
  </si>
  <si>
    <t xml:space="preserve">In the third sentence, "...wait for it to finish before proceeding." contradicts "a single-step mission". There is no other step. </t>
  </si>
  <si>
    <t>https://github.com/isselab/2025-models-prompt-engineering-results/blob/main/experiment_samples/cycle_4/prompt_entry_32.txt</t>
  </si>
  <si>
    <t>entry_41</t>
  </si>
  <si>
    <t>https://github.com/isselab/2025-models-prompt-engineering-results/blob/main/experiment_samples/cycle_4/mrq_entry_41.txt</t>
  </si>
  <si>
    <t>Slight tradeoff of atomicity for fluency. Succinctness in understadability make minor aspects of completeness more implicit(i.e failure of sequence actions)</t>
  </si>
  <si>
    <t>The second sentence is a bit ambiguous: "...stop the sequence if any action fails or is still running.". Maybe: "will wait if an action is still running". I suggest splitting it for better clarity.</t>
  </si>
  <si>
    <t>https://github.com/isselab/2025-models-prompt-engineering-results/blob/main/experiment_samples/cycle_4/prompt_entry_41.txt</t>
  </si>
  <si>
    <t>entry_194</t>
  </si>
  <si>
    <t>https://github.com/isselab/2025-models-prompt-engineering-results/blob/main/experiment_samples/cycle_4/mrq_entry_194.txt</t>
  </si>
  <si>
    <t>https://github.com/isselab/2025-models-prompt-engineering-results/blob/main/experiment_samples/cycle_4/prompt_entry_194.txt</t>
  </si>
  <si>
    <t>entry_321</t>
  </si>
  <si>
    <t>https://github.com/isselab/2025-models-prompt-engineering-results/blob/main/experiment_samples/cycle_4/mrq_entry_321.txt</t>
  </si>
  <si>
    <t>conditional sequence was poorly interpreted, leaving many questions to be answered.</t>
  </si>
  <si>
    <t>The mission requirements lack clarity and completeness in terms of the conditional sequence. This, combined with long sentence structures, makes them difficult to follow.</t>
  </si>
  <si>
    <t>The description of the conditional sequence could be more detailed.</t>
  </si>
  <si>
    <t>https://github.com/isselab/2025-models-prompt-engineering-results/blob/main/experiment_samples/cycle_4/prompt_entry_321.txt</t>
  </si>
  <si>
    <t>entry_376</t>
  </si>
  <si>
    <t>https://github.com/isselab/2025-models-prompt-engineering-results/blob/main/experiment_samples/cycle_4/mrq_entry_376.txt</t>
  </si>
  <si>
    <t>Formulation of repeat decorator not clear. 4th sentence (parallel execution) is very loaded and unatamic. A lot of redundancy in parallel execution breakdown.</t>
  </si>
  <si>
    <t>"Repeat a set  number of times or infinitely by running its child actions a set number of times for 100 cycles" in the third sentence is not clear and consistent. The fourth sentence is long. The last two sentences seem redundant.</t>
  </si>
  <si>
    <t>https://github.com/isselab/2025-models-prompt-engineering-results/blob/main/experiment_samples/cycle_4/prompt_entry_376.txt</t>
  </si>
  <si>
    <t>entry_402</t>
  </si>
  <si>
    <t>https://github.com/isselab/2025-models-prompt-engineering-results/blob/main/experiment_samples/cycle_4/mrq_entry_402.txt</t>
  </si>
  <si>
    <t>The output has highly technical aspects that make it a bit difficult to understand on the first read. The mission is a bit complex so describing sentences are longer than average.</t>
  </si>
  <si>
    <t>Some sentences are long, and some of the requirements are very technical.</t>
  </si>
  <si>
    <t>https://github.com/isselab/2025-models-prompt-engineering-results/blob/main/experiment_samples/cycle_4/prompt_entry_402.txt</t>
  </si>
  <si>
    <t>entry_435</t>
  </si>
  <si>
    <t>https://github.com/isselab/2025-models-prompt-engineering-results/blob/main/experiment_samples/cycle_4/mrq_entry_435.txt</t>
  </si>
  <si>
    <t>The subject referenced throughout the text is inaccurate. This introduces a little ambiguity. FallbackStar description is not clear</t>
  </si>
  <si>
    <t>The inferences are inaccurate. I am not sure if the inferred mission overview is correct</t>
  </si>
  <si>
    <t xml:space="preserve">Incorrect subject reference in mission </t>
  </si>
  <si>
    <t>The inferred mission overview seems incorrect</t>
  </si>
  <si>
    <t>https://github.com/isselab/2025-models-prompt-engineering-results/blob/main/experiment_samples/cycle_4/prompt_entry_435.txt</t>
  </si>
  <si>
    <t>entry_440</t>
  </si>
  <si>
    <t>https://github.com/isselab/2025-models-prompt-engineering-results/blob/main/experiment_samples/cycle_4/mrq_entry_440.txt</t>
  </si>
  <si>
    <t>"a very large number of times"-ambiguos phrase in the beginning with affect reconstruction since its the main branch owhich the remaining logic is built on</t>
  </si>
  <si>
    <t>The second sentence is not precise:  "a very large number of times". It is possible to improve the readability of the requirements</t>
  </si>
  <si>
    <t>Repeat num_cycles="9999" not clearly described</t>
  </si>
  <si>
    <t>https://github.com/isselab/2025-models-prompt-engineering-results/blob/main/experiment_samples/cycle_4/prompt_entry_440.txt</t>
  </si>
  <si>
    <t>entry_485</t>
  </si>
  <si>
    <t>https://github.com/isselab/2025-models-prompt-engineering-results/blob/main/experiment_samples/cycle_4/mrq_entry_485.txt</t>
  </si>
  <si>
    <t>"The robot will then execute a Parallel" instead of "The robot will executed the following in parallel". Could lead to misinterpretating depending on skill level and familiarity with BTs</t>
  </si>
  <si>
    <t>The parallel behavior is presented repeatedly throughout the text. Maybe the description could be optimized to improve readability.</t>
  </si>
  <si>
    <t>repeat action doesnt have concrete number of cycles stated and since everything in the tree depends on this, it affects the correct interpretation from the top</t>
  </si>
  <si>
    <t>https://github.com/isselab/2025-models-prompt-engineering-results/blob/main/experiment_samples/cycle_4/prompt_entry_485.txt</t>
  </si>
  <si>
    <t>entry_566</t>
  </si>
  <si>
    <t>https://github.com/isselab/2025-models-prompt-engineering-results/blob/main/experiment_samples/cycle_4/mrq_entry_566.txt</t>
  </si>
  <si>
    <t>Lack of paragraph separation impacts usability greatly. First fallback after first sequence not explained clearly-"and will move on only if it succeeds" is misleading. Las 3 sentences contain some behavior redundancies.</t>
  </si>
  <si>
    <t xml:space="preserve">The beginning of the sentences is repetitive: "The robot will...". The text is difficult to follow. My suggestion is to use paragraphs. </t>
  </si>
  <si>
    <t>https://github.com/isselab/2025-models-prompt-engineering-results/blob/main/experiment_samples/cycle_4/prompt_entry_566.txt</t>
  </si>
  <si>
    <t>Cycle 5</t>
  </si>
  <si>
    <t>entry_89</t>
  </si>
  <si>
    <t>https://github.com/isselab/2025-models-prompt-engineering-results/blob/main/experiment_samples/cycle_5/mrq_entry_89.txt</t>
  </si>
  <si>
    <t>3rd statement not fully atomic.</t>
  </si>
  <si>
    <t>https://github.com/isselab/2025-models-prompt-engineering-results/blob/main/experiment_samples/cycle_5/prompt_entry_89.txt</t>
  </si>
  <si>
    <t>entry_108</t>
  </si>
  <si>
    <t>https://github.com/isselab/2025-models-prompt-engineering-results/blob/main/experiment_samples/cycle_5/mrq_entry_108.txt</t>
  </si>
  <si>
    <t>Its usable but not unrestrained usability.</t>
  </si>
  <si>
    <t>Non-technical stakeholders may have difficulty understanding the requirements.</t>
  </si>
  <si>
    <t>https://github.com/isselab/2025-models-prompt-engineering-results/blob/main/experiment_samples/cycle_5/prompt_entry_108.txt</t>
  </si>
  <si>
    <t>entry_109</t>
  </si>
  <si>
    <t>https://github.com/isselab/2025-models-prompt-engineering-results/blob/main/experiment_samples/cycle_5/mrq_entry_109.txt</t>
  </si>
  <si>
    <t>"the custom action Repeat "-inconsistency: "Repeat" is not a custom action, its a controller. Last two statements contradict each other a  bit.</t>
  </si>
  <si>
    <t>The last two sentences are contradictory. The sentence "execute the following actions (the custom action NavigateToAction, the custom action NavigateToAction) " is ambiguous, seeming redundant on first reading.</t>
  </si>
  <si>
    <t>https://github.com/isselab/2025-models-prompt-engineering-results/blob/main/experiment_samples/cycle_5/prompt_entry_109.txt</t>
  </si>
  <si>
    <t>entry_325</t>
  </si>
  <si>
    <t>https://github.com/isselab/2025-models-prompt-engineering-results/blob/main/experiment_samples/cycle_5/mrq_entry_325.txt</t>
  </si>
  <si>
    <t>FallbackStar not interpreted very clearly at the end</t>
  </si>
  <si>
    <t>The first sentences of the paragraphs contain many behavioral elements; for instance, "it will execute the following actions (IsOnPasture, IsDay, IsInShed, the custom action LeaveShed, the custom  action FindRandomPastureField, the custom action Move) in sequence".  This makes the sentence difficult to follow. The sentences "It will execute the following actions in sequence" seem a bit incomplete. Furthermore, the last sentences are confusing. My suggestion: it would be better to have a separate paragraph, since they are related to FallbackStar. This BT matches entry_435 (Cycle 4).</t>
  </si>
  <si>
    <t>https://github.com/isselab/2025-models-prompt-engineering-results/blob/main/experiment_samples/cycle_5/prompt_entry_325.txt</t>
  </si>
  <si>
    <t>entry_371</t>
  </si>
  <si>
    <t>https://github.com/isselab/2025-models-prompt-engineering-results/blob/main/experiment_samples/cycle_5/mrq_entry_371.txt</t>
  </si>
  <si>
    <t>"It will find a value on the blackboard and check if it matches a given rule."- ccould be mistaken for a normal checkBlackbordValue; more context is needed to tag it as a ReactiveLTLStateCheck. A few redundant sentences.</t>
  </si>
  <si>
    <t>Some sentences are redundant, such as the first two in the second paragraph. Additionally, this paragraph is too long and should be split to improve readability. The following sentence is difficult to follow because it contains many behavioral elements: 'It will execute the following actions [FakeDetectionLevel1 or ReplanningRequestLevel1, ReactiveLTLStateCheck or ReplanningRequestLevel2, FakeDetectionLevel3 or ReplanningRequestLevel3, Switch4 or ReplanningRequestLevel3] in sequence.</t>
  </si>
  <si>
    <t>https://github.com/isselab/2025-models-prompt-engineering-results/blob/main/experiment_samples/cycle_5/prompt_entry_371.txt</t>
  </si>
  <si>
    <t>entry_432</t>
  </si>
  <si>
    <t>https://github.com/isselab/2025-models-prompt-engineering-results/blob/main/experiment_samples/cycle_5/mrq_entry_432.txt</t>
  </si>
  <si>
    <t>The first sentence of the third paragraph is a bit confusing, and I think that short paragraphs affect readability somewhat.</t>
  </si>
  <si>
    <t>https://github.com/isselab/2025-models-prompt-engineering-results/blob/main/experiment_samples/cycle_5/prompt_entry_432.txt</t>
  </si>
  <si>
    <t>entry_493</t>
  </si>
  <si>
    <t>https://github.com/isselab/2025-models-prompt-engineering-results/blob/main/experiment_samples/cycle_5/mrq_entry_493.txt</t>
  </si>
  <si>
    <t>Nuances like services and service requests not really emphasized</t>
  </si>
  <si>
    <t>I think that short paragraphs (third and fourth) affect readability somewhat. Furthermore, the last paragraph is not sufficiently understandable, perhaps due to the complexity of the mission.</t>
  </si>
  <si>
    <t>https://github.com/isselab/2025-models-prompt-engineering-results/blob/main/experiment_samples/cycle_5/prompt_entry_493.txt</t>
  </si>
  <si>
    <t>entry_515</t>
  </si>
  <si>
    <t>https://github.com/isselab/2025-models-prompt-engineering-results/blob/main/experiment_samples/cycle_5/mrq_entry_515.txt</t>
  </si>
  <si>
    <t>"will move to the next action if the first fails until one action succeeds"-ambiguous formulation</t>
  </si>
  <si>
    <t>The third paragraph is contradictory. The fourth and fifth paragraphs are somewhat redundant. Short paragraphs affect readability somewhat.</t>
  </si>
  <si>
    <t>https://github.com/isselab/2025-models-prompt-engineering-results/blob/main/experiment_samples/cycle_5/prompt_entry_515.txt</t>
  </si>
  <si>
    <t>entry_549</t>
  </si>
  <si>
    <t>https://github.com/isselab/2025-models-prompt-engineering-results/blob/main/experiment_samples/cycle_5/mrq_entry_549.txt</t>
  </si>
  <si>
    <t>The word 'Next' doesn't seem to make sense in the description.</t>
  </si>
  <si>
    <t>Validating the correctness of the inference "single-arm manipulation task" requires additional information</t>
  </si>
  <si>
    <t>https://github.com/isselab/2025-models-prompt-engineering-results/blob/main/experiment_samples/cycle_5/prompt_entry_549.txt</t>
  </si>
  <si>
    <t>entry_584</t>
  </si>
  <si>
    <t>https://github.com/isselab/2025-models-prompt-engineering-results/blob/main/experiment_samples/cycle_5/mrq_entry_584.txt</t>
  </si>
  <si>
    <t>Rigid use of "next", slightly impacting the goal of human-like fluency.</t>
  </si>
  <si>
    <t>The last three sentences related to 'FollowPath' are a little difficult to understand. The repetitive use of the connecting word 'Next' impaired the reading flow. The sentences " it will execute FollowPath while it does not fail"; "if FollowPath fails, stop looping and continue execution" and "it will run the ROS action FollowPath" is a bit confusing.</t>
  </si>
  <si>
    <t>https://github.com/isselab/2025-models-prompt-engineering-results/blob/main/experiment_samples/cycle_5/prompt_entry_584.txt</t>
  </si>
  <si>
    <t>Observed Freq.</t>
  </si>
  <si>
    <t>Total</t>
  </si>
  <si>
    <t>Expected Freq</t>
  </si>
  <si>
    <t>Quad. Weighting</t>
  </si>
  <si>
    <t>W. Kappa</t>
  </si>
  <si>
    <t>Raw Agreement (%)</t>
  </si>
  <si>
    <t>Median Distance of Disagreement for Each Quality Per Cycle</t>
  </si>
  <si>
    <t>Median</t>
  </si>
  <si>
    <t>Average correctness ratings</t>
  </si>
  <si>
    <t>Entry</t>
  </si>
  <si>
    <t>Combined averages of quality ratings</t>
  </si>
  <si>
    <t>Cycle</t>
  </si>
  <si>
    <t>Average quality rating (combined)</t>
  </si>
  <si>
    <t>Average correctness rating</t>
  </si>
  <si>
    <t>Min</t>
  </si>
  <si>
    <t>Q1</t>
  </si>
  <si>
    <t>Q3</t>
  </si>
  <si>
    <t>Max</t>
  </si>
  <si>
    <t>Atomicity median</t>
  </si>
  <si>
    <t>Ambiguity median</t>
  </si>
  <si>
    <t>Completeness median</t>
  </si>
  <si>
    <t>Usability median</t>
  </si>
  <si>
    <t>Consistency median</t>
  </si>
  <si>
    <t>1</t>
  </si>
  <si>
    <t>2</t>
  </si>
  <si>
    <t>3</t>
  </si>
  <si>
    <t>4</t>
  </si>
  <si>
    <t>5</t>
  </si>
  <si>
    <t>Screening</t>
  </si>
  <si>
    <t>Document</t>
  </si>
  <si>
    <t>Content Summary</t>
  </si>
  <si>
    <t>ISO/IEC/IEEE 29148:2018</t>
  </si>
  <si>
    <t>Distinguishes characteristics of individual requirements and of a set of requirements.</t>
  </si>
  <si>
    <t>ISO/IEC/IEEE 15288:2015</t>
  </si>
  <si>
    <t>Does not define micro‑level requirement statement qualities (like unambiguous or singular etc.) explicitly. However it presents and uses higher‑level notions of requirement and system quality.</t>
  </si>
  <si>
    <t>ISO/IEC/IEEE 12207:2017</t>
  </si>
  <si>
    <r>
      <rPr>
        <rFont val="Arial"/>
        <color theme="1"/>
        <sz val="11.0"/>
      </rPr>
      <t>Similar pattern as 15288 identified. Document is process‑oriented, with quality properties implied rather than named as requirement‑statement attributes</t>
    </r>
    <r>
      <rPr>
        <rFont val="Arial"/>
        <color theme="1"/>
        <sz val="12.0"/>
      </rPr>
      <t>.</t>
    </r>
  </si>
  <si>
    <t>ISO/IEC 25010</t>
  </si>
  <si>
    <t>This is a product‑quality and quality‑in‑use model.</t>
  </si>
  <si>
    <t>IEEE 1061-1992</t>
  </si>
  <si>
    <t>Defines a methodology for metrics over software quality attributes rather than a fixed catalog, but its examples align with classic factors like usability.</t>
  </si>
  <si>
    <t>INCOSE Guide for Writing Requirements (incl. V3/V4)</t>
  </si>
  <si>
    <t>Gives a clear set of characteristics for individual requirements and for sets.</t>
  </si>
  <si>
    <t>Extraction and Matching</t>
  </si>
  <si>
    <t>Quality</t>
  </si>
  <si>
    <t>Singular (each requirement states a single capability, characteristic, constraint, or quality factor).</t>
  </si>
  <si>
    <t>Implicitly supported via requirement traceability/uniqueness and manageable requirement items, but no explicit “atomic” or “singular” characteristic.</t>
  </si>
  <si>
    <t>Not explicitly defined; implied via manageable software requirements items.</t>
  </si>
  <si>
    <t>No direct equivalent</t>
  </si>
  <si>
    <t>Not a defined quality or metric in the taxonomy but it is handled at requirements/specification level.</t>
  </si>
  <si>
    <t>Singular (each requirement states a single capability/characteristic).</t>
  </si>
  <si>
    <t>Unambiguous (requirement can be interpreted in only one way by all intended audiences).</t>
  </si>
  <si>
    <t>Implicitly discouraged through requirements processes; no explicit “unambiguous” requirement characteristic.</t>
  </si>
  <si>
    <t>Not explicitly named, however avoiding ambiguous staements is part of good SRS practice aligned with 29148.</t>
  </si>
  <si>
    <t>No direct attribute matches this. Ambiguity is usually treated in requirements quality, not product quality.</t>
  </si>
  <si>
    <t>Not explicitly listed but framed as a measurable attributes such as reliability.</t>
  </si>
  <si>
    <t>Unambiguous / Non‑ambiguous (one and only one interpretation; avoid vague words).</t>
  </si>
  <si>
    <t>Complete (requirements set stands alone and addresses all necessary aspects)</t>
  </si>
  <si>
    <t>Complete requirement set is implied in verification/validation outcomes and stakeholder requirements definition, but not formalized as a named attribute.</t>
  </si>
  <si>
    <t>Completeness of software requirements is a goal of the Software Requirements Definition and Verification processes, but not labeled as a formal attribute.</t>
  </si>
  <si>
    <t>Functional completeness (sub‑characteristic of Functional suitability: all specified functions are provided).</t>
  </si>
  <si>
    <t>Addressed via functional completeness and “meeting quality requirements” through metrics, but not a standalone named factor.</t>
  </si>
  <si>
    <t>For individual requirements: Complete (no further amplification needed); for sets: Complete (set sufficiently describes all necessary aspects).</t>
  </si>
  <si>
    <t>Not listed as a requirement quality but appears as a requirement type (e.g., “Usability requirements” in SyRS/SRS content).</t>
  </si>
  <si>
    <t>Appears as a system quality characteristic / non‑functional requirement (e.g., usability requirements in operational quality)</t>
  </si>
  <si>
    <t>Treated as a software product quality / non-functional requirement category (usability requirements).</t>
  </si>
  <si>
    <t>Usability (top‑level product quality characteristic with sub‑characteristics such as learnability, operability, user error protection, accessibility).</t>
  </si>
  <si>
    <t>Usability as a quality factor, with sub‑factors like ease of learning, operability, understandability, communicativeness.</t>
  </si>
  <si>
    <t>Not a requirement‑statement quality; appears as a type of requirement (usability requirement) aligned with ISO 25010 usability.</t>
  </si>
  <si>
    <t>Consistent (no conflicts inside a requirement set, same terms used consistently).</t>
  </si>
  <si>
    <t>Requirement consistency is implied in “consistent with stakeholder needs and architecture” but not enumerated as a named requirement attribute.</t>
  </si>
  <si>
    <t>Implied consistency within and between software requirements and higher‑level requirements, but not named as a standalone attribute.</t>
  </si>
  <si>
    <t>No explicit “consistency” characteristic. However related concepts appear under Compatibility (interoperability, coexistence) and Usability (consistent UI etc.).</t>
  </si>
  <si>
    <t>Not a named quality but is implied under correctness or reliability metrics.</t>
  </si>
  <si>
    <t>Consistent (no conflicts among requirements; homogeneous terminology across the set).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</si>
</sst>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b/>
      <color theme="1"/>
      <name val="Arial"/>
      <scheme val="minor"/>
    </font>
    <font>
      <b/>
      <color rgb="FFFF0000"/>
      <name val="Arial"/>
      <scheme val="minor"/>
    </font>
    <font>
      <b/>
      <color rgb="FF351C75"/>
      <name val="Arial"/>
      <scheme val="minor"/>
    </font>
    <font>
      <color rgb="FFFFFFFF"/>
      <name val="Arial"/>
      <scheme val="minor"/>
    </font>
    <font>
      <u/>
      <color rgb="FF0000FF"/>
    </font>
    <font>
      <u/>
      <color rgb="FF0000FF"/>
    </font>
    <font>
      <u/>
      <color rgb="FF0000FF"/>
    </font>
    <font>
      <u/>
      <color rgb="FF0000FF"/>
    </font>
    <font>
      <color theme="1"/>
      <name val="Arial"/>
    </font>
    <font>
      <sz val="10.0"/>
      <color rgb="FF000000"/>
      <name val="Arial"/>
    </font>
    <font>
      <b/>
      <color rgb="FF0000FF"/>
      <name val="Arial"/>
      <scheme val="minor"/>
    </font>
    <font>
      <sz val="11.0"/>
      <color theme="1"/>
      <name val="Arial"/>
    </font>
    <font>
      <sz val="12.0"/>
      <color theme="1"/>
      <name val="Arial"/>
    </font>
    <font>
      <sz val="11.0"/>
      <color theme="1"/>
      <name val="Arial"/>
      <scheme val="minor"/>
    </font>
    <font>
      <sz val="12.0"/>
      <color theme="1"/>
      <name val="PplxSerif"/>
    </font>
    <font>
      <b/>
      <color theme="1"/>
      <name val="Arial"/>
    </font>
    <font>
      <sz val="11.0"/>
      <color theme="1"/>
      <name val="PplxSans"/>
    </font>
    <font>
      <color theme="1"/>
      <name val="PplxSans"/>
    </font>
  </fonts>
  <fills count="11">
    <fill>
      <patternFill patternType="none"/>
    </fill>
    <fill>
      <patternFill patternType="lightGray"/>
    </fill>
    <fill>
      <patternFill patternType="solid">
        <fgColor rgb="FF6D9EEB"/>
        <bgColor rgb="FF6D9EEB"/>
      </patternFill>
    </fill>
    <fill>
      <patternFill patternType="solid">
        <fgColor rgb="FFEA9999"/>
        <bgColor rgb="FFEA9999"/>
      </patternFill>
    </fill>
    <fill>
      <patternFill patternType="solid">
        <fgColor rgb="FFCCCCCC"/>
        <bgColor rgb="FFCCCCCC"/>
      </patternFill>
    </fill>
    <fill>
      <patternFill patternType="solid">
        <fgColor rgb="FF6AA84F"/>
        <bgColor rgb="FF6AA84F"/>
      </patternFill>
    </fill>
    <fill>
      <patternFill patternType="solid">
        <fgColor rgb="FFB6D7A8"/>
        <bgColor rgb="FFB6D7A8"/>
      </patternFill>
    </fill>
    <fill>
      <patternFill patternType="solid">
        <fgColor rgb="FF9FC5E8"/>
        <bgColor rgb="FF9FC5E8"/>
      </patternFill>
    </fill>
    <fill>
      <patternFill patternType="solid">
        <fgColor rgb="FF93C47D"/>
        <bgColor rgb="FF93C47D"/>
      </patternFill>
    </fill>
    <fill>
      <patternFill patternType="solid">
        <fgColor rgb="FFFFFFFF"/>
        <bgColor rgb="FFFFFFFF"/>
      </patternFill>
    </fill>
    <fill>
      <patternFill patternType="solid">
        <fgColor rgb="FFB7B7B7"/>
        <bgColor rgb="FFB7B7B7"/>
      </patternFill>
    </fill>
  </fills>
  <borders count="3">
    <border/>
    <border>
      <bottom style="thin">
        <color rgb="FF000000"/>
      </bottom>
    </border>
    <border>
      <right style="thin">
        <color rgb="FF000000"/>
      </right>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2" fontId="2" numFmtId="0" xfId="0" applyAlignment="1" applyFill="1" applyFont="1">
      <alignment horizontal="center" readingOrder="0" shrinkToFit="0" vertical="bottom" wrapText="1"/>
    </xf>
    <xf borderId="0" fillId="3" fontId="2" numFmtId="0" xfId="0" applyAlignment="1" applyFill="1" applyFont="1">
      <alignment horizontal="center" readingOrder="0" shrinkToFit="0" wrapText="1"/>
    </xf>
    <xf borderId="0" fillId="4" fontId="1" numFmtId="0" xfId="0" applyAlignment="1" applyFill="1" applyFont="1">
      <alignment readingOrder="0"/>
    </xf>
    <xf borderId="0" fillId="4" fontId="2" numFmtId="0" xfId="0" applyAlignment="1" applyFont="1">
      <alignment horizontal="center" readingOrder="0"/>
    </xf>
    <xf borderId="0" fillId="4" fontId="2" numFmtId="0" xfId="0" applyAlignment="1" applyFont="1">
      <alignment horizontal="center" readingOrder="0" shrinkToFit="0" wrapText="1"/>
    </xf>
    <xf borderId="0" fillId="4" fontId="3" numFmtId="0" xfId="0" applyAlignment="1" applyFont="1">
      <alignment horizontal="center" readingOrder="0" shrinkToFit="0" wrapText="1"/>
    </xf>
    <xf borderId="0" fillId="4" fontId="1" numFmtId="0" xfId="0" applyFont="1"/>
    <xf borderId="0" fillId="4" fontId="4" numFmtId="0" xfId="0" applyAlignment="1" applyFont="1">
      <alignment horizontal="center" readingOrder="0" shrinkToFit="0" wrapText="1"/>
    </xf>
    <xf borderId="0" fillId="5" fontId="5" numFmtId="0" xfId="0" applyAlignment="1" applyFill="1" applyFont="1">
      <alignment readingOrder="0"/>
    </xf>
    <xf borderId="0" fillId="5" fontId="1" numFmtId="0" xfId="0" applyFont="1"/>
    <xf borderId="0" fillId="0" fontId="6" numFmtId="0" xfId="0" applyAlignment="1" applyFont="1">
      <alignment readingOrder="0" shrinkToFit="0" wrapText="0"/>
    </xf>
    <xf borderId="0" fillId="0" fontId="1" numFmtId="0" xfId="0" applyAlignment="1" applyFont="1">
      <alignment horizontal="center" readingOrder="0" shrinkToFit="0" wrapText="0"/>
    </xf>
    <xf borderId="0" fillId="0" fontId="1" numFmtId="2" xfId="0" applyAlignment="1" applyFont="1" applyNumberFormat="1">
      <alignment horizontal="center"/>
    </xf>
    <xf borderId="0" fillId="0" fontId="1" numFmtId="0" xfId="0" applyAlignment="1" applyFont="1">
      <alignment horizontal="center" readingOrder="0"/>
    </xf>
    <xf borderId="0" fillId="0" fontId="7" numFmtId="0" xfId="0" applyAlignment="1" applyFont="1">
      <alignment readingOrder="0"/>
    </xf>
    <xf borderId="0" fillId="0" fontId="1" numFmtId="0" xfId="0" applyAlignment="1" applyFont="1">
      <alignment horizontal="center"/>
    </xf>
    <xf borderId="0" fillId="0" fontId="1" numFmtId="0" xfId="0" applyAlignment="1" applyFont="1">
      <alignment readingOrder="0" shrinkToFit="0" wrapText="0"/>
    </xf>
    <xf borderId="0" fillId="0" fontId="8" numFmtId="0" xfId="0" applyAlignment="1" applyFont="1">
      <alignment readingOrder="0"/>
    </xf>
    <xf borderId="0" fillId="0" fontId="9" numFmtId="0" xfId="0" applyAlignment="1" applyFont="1">
      <alignment readingOrder="0" shrinkToFit="0" wrapText="0"/>
    </xf>
    <xf borderId="0" fillId="0" fontId="1" numFmtId="0" xfId="0" applyAlignment="1" applyFont="1">
      <alignment horizontal="center" readingOrder="0" shrinkToFit="0" wrapText="0"/>
    </xf>
    <xf borderId="0" fillId="5" fontId="1" numFmtId="0" xfId="0" applyAlignment="1" applyFont="1">
      <alignment horizontal="center"/>
    </xf>
    <xf borderId="0" fillId="5" fontId="5" numFmtId="0" xfId="0" applyFont="1"/>
    <xf borderId="0" fillId="5" fontId="5" numFmtId="0" xfId="0" applyAlignment="1" applyFont="1">
      <alignment horizontal="center"/>
    </xf>
    <xf borderId="0" fillId="0" fontId="1" numFmtId="2" xfId="0" applyAlignment="1" applyFont="1" applyNumberFormat="1">
      <alignment horizontal="center" readingOrder="0"/>
    </xf>
    <xf borderId="0" fillId="0" fontId="10" numFmtId="0" xfId="0" applyAlignment="1" applyFont="1">
      <alignment horizontal="center" vertical="bottom"/>
    </xf>
    <xf borderId="0" fillId="0" fontId="10" numFmtId="0" xfId="0" applyAlignment="1" applyFont="1">
      <alignment vertical="bottom"/>
    </xf>
    <xf borderId="0" fillId="0" fontId="11" numFmtId="0" xfId="0" applyAlignment="1" applyFont="1">
      <alignment readingOrder="0"/>
    </xf>
    <xf borderId="0" fillId="0" fontId="10" numFmtId="0" xfId="0" applyAlignment="1" applyFont="1">
      <alignment horizontal="left" vertical="bottom"/>
    </xf>
    <xf borderId="0" fillId="6" fontId="2" numFmtId="0" xfId="0" applyAlignment="1" applyFill="1" applyFont="1">
      <alignment horizontal="center" readingOrder="0"/>
    </xf>
    <xf borderId="0" fillId="6" fontId="1" numFmtId="0" xfId="0" applyFont="1"/>
    <xf borderId="0" fillId="0" fontId="12" numFmtId="0" xfId="0" applyAlignment="1" applyFont="1">
      <alignment horizontal="center" readingOrder="0"/>
    </xf>
    <xf borderId="0" fillId="0" fontId="3" numFmtId="0" xfId="0" applyAlignment="1" applyFont="1">
      <alignment horizontal="center" readingOrder="0"/>
    </xf>
    <xf borderId="0" fillId="0" fontId="1" numFmtId="1" xfId="0" applyAlignment="1" applyFont="1" applyNumberFormat="1">
      <alignment horizontal="center" readingOrder="0"/>
    </xf>
    <xf borderId="0" fillId="0" fontId="1" numFmtId="1" xfId="0" applyAlignment="1" applyFont="1" applyNumberFormat="1">
      <alignment horizontal="center"/>
    </xf>
    <xf borderId="0" fillId="0" fontId="1" numFmtId="0" xfId="0" applyFont="1"/>
    <xf borderId="0" fillId="0" fontId="1" numFmtId="2" xfId="0" applyFont="1" applyNumberFormat="1"/>
    <xf borderId="0" fillId="7" fontId="2" numFmtId="0" xfId="0" applyAlignment="1" applyFill="1" applyFont="1">
      <alignment horizontal="center"/>
    </xf>
    <xf borderId="0" fillId="7" fontId="2" numFmtId="0" xfId="0" applyAlignment="1" applyFont="1">
      <alignment horizontal="center" readingOrder="0"/>
    </xf>
    <xf borderId="0" fillId="3" fontId="2" numFmtId="0" xfId="0" applyAlignment="1" applyFont="1">
      <alignment horizontal="center" readingOrder="0"/>
    </xf>
    <xf borderId="0" fillId="8" fontId="2" numFmtId="0" xfId="0" applyAlignment="1" applyFill="1" applyFont="1">
      <alignment horizontal="center" readingOrder="0"/>
    </xf>
    <xf borderId="0" fillId="8" fontId="1" numFmtId="0" xfId="0" applyAlignment="1" applyFont="1">
      <alignment horizontal="center"/>
    </xf>
    <xf borderId="0" fillId="0" fontId="2" numFmtId="0" xfId="0" applyAlignment="1" applyFont="1">
      <alignment horizontal="center" readingOrder="0" shrinkToFit="0" wrapText="1"/>
    </xf>
    <xf borderId="0" fillId="0" fontId="2" numFmtId="49" xfId="0" applyAlignment="1" applyFont="1" applyNumberFormat="1">
      <alignment horizontal="center" readingOrder="0"/>
    </xf>
    <xf borderId="0" fillId="0" fontId="1" numFmtId="49" xfId="0" applyAlignment="1" applyFont="1" applyNumberFormat="1">
      <alignment horizontal="center" readingOrder="0"/>
    </xf>
    <xf borderId="0" fillId="5" fontId="2" numFmtId="0" xfId="0" applyAlignment="1" applyFont="1">
      <alignment horizontal="center" readingOrder="0"/>
    </xf>
    <xf borderId="0" fillId="9" fontId="2" numFmtId="0" xfId="0" applyAlignment="1" applyFill="1" applyFont="1">
      <alignment horizontal="center" readingOrder="0"/>
    </xf>
    <xf borderId="0" fillId="10" fontId="2" numFmtId="0" xfId="0" applyAlignment="1" applyFill="1" applyFont="1">
      <alignment horizontal="center" readingOrder="0"/>
    </xf>
    <xf borderId="0" fillId="0" fontId="13" numFmtId="0" xfId="0" applyAlignment="1" applyFont="1">
      <alignment readingOrder="0"/>
    </xf>
    <xf borderId="0" fillId="0" fontId="14" numFmtId="0" xfId="0" applyAlignment="1" applyFont="1">
      <alignment readingOrder="0" shrinkToFit="0" wrapText="1"/>
    </xf>
    <xf borderId="0" fillId="0" fontId="15" numFmtId="0" xfId="0" applyAlignment="1" applyFont="1">
      <alignment readingOrder="0" shrinkToFit="0" wrapText="1"/>
    </xf>
    <xf borderId="0" fillId="9" fontId="2" numFmtId="0" xfId="0" applyAlignment="1" applyFont="1">
      <alignment horizontal="center" readingOrder="0" shrinkToFit="0" wrapText="1"/>
    </xf>
    <xf borderId="0" fillId="0" fontId="16" numFmtId="0" xfId="0" applyFont="1"/>
    <xf borderId="0" fillId="10" fontId="17" numFmtId="0" xfId="0" applyAlignment="1" applyFont="1">
      <alignment horizontal="center" readingOrder="0"/>
    </xf>
    <xf borderId="0" fillId="0" fontId="18" numFmtId="0" xfId="0" applyAlignment="1" applyFont="1">
      <alignment readingOrder="0" shrinkToFit="0" wrapText="1"/>
    </xf>
    <xf borderId="0" fillId="0" fontId="13" numFmtId="0" xfId="0" applyAlignment="1" applyFont="1">
      <alignment readingOrder="0" shrinkToFit="0" wrapText="1"/>
    </xf>
    <xf borderId="0" fillId="0" fontId="18" numFmtId="0" xfId="0" applyAlignment="1" applyFont="1">
      <alignment readingOrder="0" shrinkToFit="0" wrapText="0"/>
    </xf>
    <xf borderId="0" fillId="0" fontId="19" numFmtId="0" xfId="0" applyAlignment="1" applyFont="1">
      <alignment readingOrder="0" shrinkToFit="0" wrapText="1"/>
    </xf>
    <xf borderId="1" fillId="0" fontId="19" numFmtId="0" xfId="0" applyAlignment="1" applyBorder="1" applyFont="1">
      <alignment readingOrder="0" shrinkToFit="0" wrapText="1"/>
    </xf>
    <xf borderId="1" fillId="0" fontId="10" numFmtId="0" xfId="0" applyAlignment="1" applyBorder="1" applyFont="1">
      <alignment readingOrder="0" shrinkToFit="0" wrapText="1"/>
    </xf>
    <xf borderId="2" fillId="0" fontId="10" numFmtId="0" xfId="0" applyAlignment="1" applyBorder="1" applyFont="1">
      <alignment readingOrder="0" shrinkToFit="0" wrapText="1"/>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strRef>
              <c:f>Plot!$C$2</c:f>
            </c:strRef>
          </c:tx>
          <c:spPr>
            <a:ln>
              <a:noFill/>
            </a:ln>
          </c:spPr>
          <c:marker>
            <c:symbol val="circle"/>
            <c:size val="6"/>
            <c:spPr>
              <a:solidFill>
                <a:schemeClr val="accent1"/>
              </a:solidFill>
              <a:ln cmpd="sng">
                <a:solidFill>
                  <a:schemeClr val="accent1"/>
                </a:solidFill>
              </a:ln>
            </c:spPr>
          </c:marker>
          <c:dPt>
            <c:idx val="3"/>
            <c:marker>
              <c:symbol val="none"/>
            </c:marker>
          </c:dPt>
          <c:dPt>
            <c:idx val="4"/>
            <c:marker>
              <c:symbol val="none"/>
            </c:marker>
          </c:dPt>
          <c:dPt>
            <c:idx val="5"/>
            <c:marker>
              <c:symbol val="none"/>
            </c:marker>
          </c:dPt>
          <c:trendline>
            <c:name/>
            <c:spPr>
              <a:ln w="19050">
                <a:solidFill>
                  <a:srgbClr val="4285F4">
                    <a:alpha val="60000"/>
                  </a:srgbClr>
                </a:solidFill>
              </a:ln>
            </c:spPr>
            <c:trendlineType val="linear"/>
            <c:dispRSqr val="0"/>
            <c:dispEq val="0"/>
          </c:trendline>
          <c:xVal>
            <c:numRef>
              <c:f>Plot!$B$3:$B$60</c:f>
            </c:numRef>
          </c:xVal>
          <c:yVal>
            <c:numRef>
              <c:f>Plot!$C$3:$C$60</c:f>
              <c:numCache/>
            </c:numRef>
          </c:yVal>
        </c:ser>
        <c:ser>
          <c:idx val="1"/>
          <c:order val="1"/>
          <c:tx>
            <c:strRef>
              <c:f>Plot!$D$2</c:f>
            </c:strRef>
          </c:tx>
          <c:spPr>
            <a:ln>
              <a:noFill/>
            </a:ln>
          </c:spPr>
          <c:marker>
            <c:symbol val="circle"/>
            <c:size val="6"/>
            <c:spPr>
              <a:solidFill>
                <a:schemeClr val="accent2"/>
              </a:solidFill>
              <a:ln cmpd="sng">
                <a:solidFill>
                  <a:schemeClr val="accent2"/>
                </a:solidFill>
              </a:ln>
            </c:spPr>
          </c:marker>
          <c:trendline>
            <c:name/>
            <c:spPr>
              <a:ln w="19050">
                <a:solidFill>
                  <a:srgbClr val="EA4335">
                    <a:alpha val="60000"/>
                  </a:srgbClr>
                </a:solidFill>
              </a:ln>
            </c:spPr>
            <c:trendlineType val="linear"/>
            <c:dispRSqr val="0"/>
            <c:dispEq val="0"/>
          </c:trendline>
          <c:xVal>
            <c:numRef>
              <c:f>Plot!$B$3:$B$60</c:f>
            </c:numRef>
          </c:xVal>
          <c:yVal>
            <c:numRef>
              <c:f>Plot!$D$3:$D$60</c:f>
              <c:numCache/>
            </c:numRef>
          </c:yVal>
        </c:ser>
        <c:ser>
          <c:idx val="2"/>
          <c:order val="2"/>
          <c:tx>
            <c:strRef>
              <c:f>Plot!$E$2</c:f>
            </c:strRef>
          </c:tx>
          <c:spPr>
            <a:ln>
              <a:noFill/>
            </a:ln>
          </c:spPr>
          <c:marker>
            <c:symbol val="circle"/>
            <c:size val="6"/>
            <c:spPr>
              <a:solidFill>
                <a:schemeClr val="accent3"/>
              </a:solidFill>
              <a:ln cmpd="sng">
                <a:solidFill>
                  <a:schemeClr val="accent3"/>
                </a:solidFill>
              </a:ln>
            </c:spPr>
          </c:marker>
          <c:trendline>
            <c:name/>
            <c:spPr>
              <a:ln w="19050">
                <a:solidFill>
                  <a:srgbClr val="FBBC04">
                    <a:alpha val="60000"/>
                  </a:srgbClr>
                </a:solidFill>
              </a:ln>
            </c:spPr>
            <c:trendlineType val="linear"/>
            <c:dispRSqr val="0"/>
            <c:dispEq val="0"/>
          </c:trendline>
          <c:xVal>
            <c:numRef>
              <c:f>Plot!$B$3:$B$60</c:f>
            </c:numRef>
          </c:xVal>
          <c:yVal>
            <c:numRef>
              <c:f>Plot!$E$3:$E$60</c:f>
              <c:numCache/>
            </c:numRef>
          </c:yVal>
        </c:ser>
        <c:ser>
          <c:idx val="3"/>
          <c:order val="3"/>
          <c:tx>
            <c:strRef>
              <c:f>Plot!$C$2</c:f>
            </c:strRef>
          </c:tx>
          <c:spPr>
            <a:ln>
              <a:noFill/>
            </a:ln>
          </c:spPr>
          <c:marker>
            <c:symbol val="circle"/>
            <c:size val="6"/>
            <c:spPr>
              <a:solidFill>
                <a:schemeClr val="accent4"/>
              </a:solidFill>
              <a:ln cmpd="sng">
                <a:solidFill>
                  <a:schemeClr val="accent4"/>
                </a:solidFill>
              </a:ln>
            </c:spPr>
          </c:marker>
          <c:trendline>
            <c:name/>
            <c:spPr>
              <a:ln w="19050">
                <a:solidFill>
                  <a:srgbClr val="34A853">
                    <a:alpha val="60000"/>
                  </a:srgbClr>
                </a:solidFill>
              </a:ln>
            </c:spPr>
            <c:trendlineType val="linear"/>
            <c:dispRSqr val="0"/>
            <c:dispEq val="0"/>
          </c:trendline>
          <c:xVal>
            <c:numRef>
              <c:f>Plot!$B$3:$B$60</c:f>
            </c:numRef>
          </c:xVal>
          <c:yVal>
            <c:numRef>
              <c:f>Plot!$C$3:$C$60</c:f>
              <c:numCache/>
            </c:numRef>
          </c:yVal>
        </c:ser>
        <c:ser>
          <c:idx val="4"/>
          <c:order val="4"/>
          <c:tx>
            <c:strRef>
              <c:f>Plot!$F$2</c:f>
            </c:strRef>
          </c:tx>
          <c:spPr>
            <a:ln>
              <a:noFill/>
            </a:ln>
          </c:spPr>
          <c:marker>
            <c:symbol val="circle"/>
            <c:size val="6"/>
            <c:spPr>
              <a:solidFill>
                <a:schemeClr val="accent5"/>
              </a:solidFill>
              <a:ln cmpd="sng">
                <a:solidFill>
                  <a:schemeClr val="accent5"/>
                </a:solidFill>
              </a:ln>
            </c:spPr>
          </c:marker>
          <c:trendline>
            <c:name/>
            <c:spPr>
              <a:ln w="19050">
                <a:solidFill>
                  <a:srgbClr val="FF6D01">
                    <a:alpha val="60000"/>
                  </a:srgbClr>
                </a:solidFill>
              </a:ln>
            </c:spPr>
            <c:trendlineType val="linear"/>
            <c:dispRSqr val="0"/>
            <c:dispEq val="0"/>
          </c:trendline>
          <c:xVal>
            <c:numRef>
              <c:f>Plot!$B$3:$B$60</c:f>
            </c:numRef>
          </c:xVal>
          <c:yVal>
            <c:numRef>
              <c:f>Plot!$F$3:$F$60</c:f>
              <c:numCache/>
            </c:numRef>
          </c:yVal>
        </c:ser>
        <c:dLbls>
          <c:showLegendKey val="0"/>
          <c:showVal val="0"/>
          <c:showCatName val="0"/>
          <c:showSerName val="0"/>
          <c:showPercent val="0"/>
          <c:showBubbleSize val="0"/>
        </c:dLbls>
        <c:axId val="911533735"/>
        <c:axId val="1886949968"/>
      </c:scatterChart>
      <c:valAx>
        <c:axId val="911533735"/>
        <c:scaling>
          <c:orientation val="minMax"/>
          <c:max val="4.3"/>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Arial"/>
                  </a:defRPr>
                </a:pPr>
                <a:r>
                  <a:rPr b="0" sz="1400">
                    <a:solidFill>
                      <a:srgbClr val="000000"/>
                    </a:solidFill>
                    <a:latin typeface="Arial"/>
                  </a:rPr>
                  <a:t>Average Quality (combined)</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886949968"/>
      </c:valAx>
      <c:valAx>
        <c:axId val="1886949968"/>
        <c:scaling>
          <c:orientation val="minMax"/>
          <c:max val="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Arial"/>
                  </a:defRPr>
                </a:pPr>
                <a:r>
                  <a:rPr b="0" sz="1400">
                    <a:solidFill>
                      <a:srgbClr val="000000"/>
                    </a:solidFill>
                    <a:latin typeface="Arial"/>
                  </a:rPr>
                  <a:t>Average Correctness</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911533735"/>
      </c:valAx>
    </c:plotArea>
    <c:legend>
      <c:legendPos val="b"/>
      <c:overlay val="0"/>
      <c:txPr>
        <a:bodyPr/>
        <a:lstStyle/>
        <a:p>
          <a:pPr lvl="0">
            <a:defRPr b="0" i="0">
              <a:solidFill>
                <a:srgbClr val="1A1A1A"/>
              </a:solidFill>
              <a:latin typeface="Arial"/>
            </a:defRPr>
          </a:pPr>
        </a:p>
      </c:txPr>
    </c:legend>
    <c:plotVisOnly val="1"/>
  </c:chart>
  <c:spPr>
    <a:solidFill>
      <a:srgbClr val="FFFFFF"/>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514350</xdr:colOff>
      <xdr:row>5</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isselab/2025-models-prompt-engineering-results/blob/main/experiment_samples/cycle_2/prompt_entry_531.txt" TargetMode="External"/><Relationship Id="rId42" Type="http://schemas.openxmlformats.org/officeDocument/2006/relationships/hyperlink" Target="https://github.com/isselab/2025-models-prompt-engineering-results/blob/main/experiment_samples/cycle_3/prompt_entry_58.txt" TargetMode="External"/><Relationship Id="rId41" Type="http://schemas.openxmlformats.org/officeDocument/2006/relationships/hyperlink" Target="https://github.com/isselab/2025-models-prompt-engineering-results/blob/main/experiment_samples/cycle_3/mrq_entry_58.txt" TargetMode="External"/><Relationship Id="rId44" Type="http://schemas.openxmlformats.org/officeDocument/2006/relationships/hyperlink" Target="https://github.com/isselab/2025-models-prompt-engineering-results/blob/main/experiment_samples/cycle_3/prompt_entry_77.txt" TargetMode="External"/><Relationship Id="rId43" Type="http://schemas.openxmlformats.org/officeDocument/2006/relationships/hyperlink" Target="https://github.com/isselab/2025-models-prompt-engineering-results/blob/main/experiment_samples/cycle_3/mrq_entry_77.txt" TargetMode="External"/><Relationship Id="rId46" Type="http://schemas.openxmlformats.org/officeDocument/2006/relationships/hyperlink" Target="https://github.com/isselab/2025-models-prompt-engineering-results/blob/main/experiment_samples/cycle_3/prompt_entry_92.txt" TargetMode="External"/><Relationship Id="rId45" Type="http://schemas.openxmlformats.org/officeDocument/2006/relationships/hyperlink" Target="https://github.com/isselab/2025-models-prompt-engineering-results/blob/main/experiment_samples/cycle_3/mrq_entry_92.txt" TargetMode="External"/><Relationship Id="rId48" Type="http://schemas.openxmlformats.org/officeDocument/2006/relationships/hyperlink" Target="https://github.com/isselab/2025-models-prompt-engineering-results/blob/main/experiment_samples/cycle_3/prompt_entry_124.txt" TargetMode="External"/><Relationship Id="rId47" Type="http://schemas.openxmlformats.org/officeDocument/2006/relationships/hyperlink" Target="https://github.com/isselab/2025-models-prompt-engineering-results/blob/main/experiment_samples/cycle_3/mrq_entry_124.txt" TargetMode="External"/><Relationship Id="rId49" Type="http://schemas.openxmlformats.org/officeDocument/2006/relationships/hyperlink" Target="https://github.com/isselab/2025-models-prompt-engineering-results/blob/main/experiment_samples/cycle_3/mrq_entry_155.txt" TargetMode="External"/><Relationship Id="rId101" Type="http://schemas.openxmlformats.org/officeDocument/2006/relationships/drawing" Target="../drawings/drawing1.xml"/><Relationship Id="rId100" Type="http://schemas.openxmlformats.org/officeDocument/2006/relationships/hyperlink" Target="https://github.com/isselab/2025-models-prompt-engineering-results/blob/main/experiment_samples/cycle_5/prompt_entry_584.txt" TargetMode="External"/><Relationship Id="rId31" Type="http://schemas.openxmlformats.org/officeDocument/2006/relationships/hyperlink" Target="https://github.com/isselab/2025-models-prompt-engineering-results/blob/main/experiment_samples/cycle_2/mrq_entry_475.txt" TargetMode="External"/><Relationship Id="rId30" Type="http://schemas.openxmlformats.org/officeDocument/2006/relationships/hyperlink" Target="https://github.com/isselab/2025-models-prompt-engineering-results/blob/main/experiment_samples/cycle_2/prompt_entry_451.txt" TargetMode="External"/><Relationship Id="rId33" Type="http://schemas.openxmlformats.org/officeDocument/2006/relationships/hyperlink" Target="https://github.com/isselab/2025-models-prompt-engineering-results/blob/main/experiment_samples/cycle_2/mrq_entry_50.txt" TargetMode="External"/><Relationship Id="rId32" Type="http://schemas.openxmlformats.org/officeDocument/2006/relationships/hyperlink" Target="https://github.com/isselab/2025-models-prompt-engineering-results/blob/main/experiment_samples/cycle_2/prompt_entry_475.txt" TargetMode="External"/><Relationship Id="rId35" Type="http://schemas.openxmlformats.org/officeDocument/2006/relationships/hyperlink" Target="https://github.com/isselab/2025-models-prompt-engineering-results/blob/main/experiment_samples/cycle_2/mrq_entry_511.txt" TargetMode="External"/><Relationship Id="rId34" Type="http://schemas.openxmlformats.org/officeDocument/2006/relationships/hyperlink" Target="https://github.com/isselab/2025-models-prompt-engineering-results/blob/main/experiment_samples/cycle_2/prompt_entry_50.txt" TargetMode="External"/><Relationship Id="rId37" Type="http://schemas.openxmlformats.org/officeDocument/2006/relationships/hyperlink" Target="https://github.com/isselab/2025-models-prompt-engineering-results/blob/main/experiment_samples/cycle_2/mrq_entry_529.txt" TargetMode="External"/><Relationship Id="rId36" Type="http://schemas.openxmlformats.org/officeDocument/2006/relationships/hyperlink" Target="https://github.com/isselab/2025-models-prompt-engineering-results/blob/main/experiment_samples/cycle_2/prompt_entry_511.txt" TargetMode="External"/><Relationship Id="rId39" Type="http://schemas.openxmlformats.org/officeDocument/2006/relationships/hyperlink" Target="https://github.com/isselab/2025-models-prompt-engineering-results/blob/main/experiment_samples/cycle_2/mrq_entry_531.txt" TargetMode="External"/><Relationship Id="rId38" Type="http://schemas.openxmlformats.org/officeDocument/2006/relationships/hyperlink" Target="https://github.com/isselab/2025-models-prompt-engineering-results/blob/main/experiment_samples/cycle_2/prompt_entry_529.txt" TargetMode="External"/><Relationship Id="rId20" Type="http://schemas.openxmlformats.org/officeDocument/2006/relationships/hyperlink" Target="https://github.com/isselab/2025-models-prompt-engineering-results/blob/main/experiment_samples/cycle_1/prompt_entry_540.txt" TargetMode="External"/><Relationship Id="rId22" Type="http://schemas.openxmlformats.org/officeDocument/2006/relationships/hyperlink" Target="https://github.com/isselab/2025-models-prompt-engineering-results/blob/main/experiment_samples/cycle_2/prompt_entry_150.txt" TargetMode="External"/><Relationship Id="rId21" Type="http://schemas.openxmlformats.org/officeDocument/2006/relationships/hyperlink" Target="https://github.com/isselab/2025-models-prompt-engineering-results/blob/main/experiment_samples/cycle_2/mrq_entry_150.txt" TargetMode="External"/><Relationship Id="rId24" Type="http://schemas.openxmlformats.org/officeDocument/2006/relationships/hyperlink" Target="https://github.com/isselab/2025-models-prompt-engineering-results/blob/main/experiment_samples/cycle_2/prompt_entry_220.txt" TargetMode="External"/><Relationship Id="rId23" Type="http://schemas.openxmlformats.org/officeDocument/2006/relationships/hyperlink" Target="https://github.com/isselab/2025-models-prompt-engineering-results/blob/main/experiment_samples/cycle_2/mrq_entry_220.txt" TargetMode="External"/><Relationship Id="rId26" Type="http://schemas.openxmlformats.org/officeDocument/2006/relationships/hyperlink" Target="https://github.com/isselab/2025-models-prompt-engineering-results/blob/main/experiment_samples/cycle_2/prompt_entry_272.txt" TargetMode="External"/><Relationship Id="rId25" Type="http://schemas.openxmlformats.org/officeDocument/2006/relationships/hyperlink" Target="https://github.com/isselab/2025-models-prompt-engineering-results/blob/main/experiment_samples/cycle_2/mrq_entry_272.txt" TargetMode="External"/><Relationship Id="rId28" Type="http://schemas.openxmlformats.org/officeDocument/2006/relationships/hyperlink" Target="https://github.com/isselab/2025-models-prompt-engineering-results/blob/main/experiment_samples/cycle_2/prompt_entry_418.txt" TargetMode="External"/><Relationship Id="rId27" Type="http://schemas.openxmlformats.org/officeDocument/2006/relationships/hyperlink" Target="https://github.com/isselab/2025-models-prompt-engineering-results/blob/main/experiment_samples/cycle_2/mrq_entry_418.txt" TargetMode="External"/><Relationship Id="rId29" Type="http://schemas.openxmlformats.org/officeDocument/2006/relationships/hyperlink" Target="https://github.com/isselab/2025-models-prompt-engineering-results/blob/main/experiment_samples/cycle_2/mrq_entry_451.txt" TargetMode="External"/><Relationship Id="rId95" Type="http://schemas.openxmlformats.org/officeDocument/2006/relationships/hyperlink" Target="https://github.com/isselab/2025-models-prompt-engineering-results/blob/main/experiment_samples/cycle_5/mrq_entry_515.txt" TargetMode="External"/><Relationship Id="rId94" Type="http://schemas.openxmlformats.org/officeDocument/2006/relationships/hyperlink" Target="https://github.com/isselab/2025-models-prompt-engineering-results/blob/main/experiment_samples/cycle_5/prompt_entry_493.txt" TargetMode="External"/><Relationship Id="rId97" Type="http://schemas.openxmlformats.org/officeDocument/2006/relationships/hyperlink" Target="https://github.com/isselab/2025-models-prompt-engineering-results/blob/main/experiment_samples/cycle_5/mrq_entry_549.txt" TargetMode="External"/><Relationship Id="rId96" Type="http://schemas.openxmlformats.org/officeDocument/2006/relationships/hyperlink" Target="https://github.com/isselab/2025-models-prompt-engineering-results/blob/main/experiment_samples/cycle_5/prompt_entry_515.txt" TargetMode="External"/><Relationship Id="rId11" Type="http://schemas.openxmlformats.org/officeDocument/2006/relationships/hyperlink" Target="https://github.com/isselab/2025-models-prompt-engineering-results/blob/main/experiment_samples/cycle_1/mrq_entry_375.txt" TargetMode="External"/><Relationship Id="rId99" Type="http://schemas.openxmlformats.org/officeDocument/2006/relationships/hyperlink" Target="https://github.com/isselab/2025-models-prompt-engineering-results/blob/main/experiment_samples/cycle_5/mrq_entry_584.txt" TargetMode="External"/><Relationship Id="rId10" Type="http://schemas.openxmlformats.org/officeDocument/2006/relationships/hyperlink" Target="https://github.com/isselab/2025-models-prompt-engineering-results/blob/main/experiment_samples/cycle_1/prompt_entry_317.txt" TargetMode="External"/><Relationship Id="rId98" Type="http://schemas.openxmlformats.org/officeDocument/2006/relationships/hyperlink" Target="https://github.com/isselab/2025-models-prompt-engineering-results/blob/main/experiment_samples/cycle_5/prompt_entry_549.txt" TargetMode="External"/><Relationship Id="rId13" Type="http://schemas.openxmlformats.org/officeDocument/2006/relationships/hyperlink" Target="https://github.com/isselab/2025-models-prompt-engineering-results/blob/main/experiment_samples/cycle_1/mrq_entry_411.txt" TargetMode="External"/><Relationship Id="rId12" Type="http://schemas.openxmlformats.org/officeDocument/2006/relationships/hyperlink" Target="https://github.com/isselab/2025-models-prompt-engineering-results/blob/main/experiment_samples/cycle_1/prompt_entry_375.txt" TargetMode="External"/><Relationship Id="rId91" Type="http://schemas.openxmlformats.org/officeDocument/2006/relationships/hyperlink" Target="https://github.com/isselab/2025-models-prompt-engineering-results/blob/main/experiment_samples/cycle_5/mrq_entry_432.txt" TargetMode="External"/><Relationship Id="rId90" Type="http://schemas.openxmlformats.org/officeDocument/2006/relationships/hyperlink" Target="https://github.com/isselab/2025-models-prompt-engineering-results/blob/main/experiment_samples/cycle_5/prompt_entry_371.txt" TargetMode="External"/><Relationship Id="rId93" Type="http://schemas.openxmlformats.org/officeDocument/2006/relationships/hyperlink" Target="https://github.com/isselab/2025-models-prompt-engineering-results/blob/main/experiment_samples/cycle_5/mrq_entry_493.txt" TargetMode="External"/><Relationship Id="rId92" Type="http://schemas.openxmlformats.org/officeDocument/2006/relationships/hyperlink" Target="https://github.com/isselab/2025-models-prompt-engineering-results/blob/main/experiment_samples/cycle_5/prompt_entry_432.txt" TargetMode="External"/><Relationship Id="rId15" Type="http://schemas.openxmlformats.org/officeDocument/2006/relationships/hyperlink" Target="https://github.com/isselab/2025-models-prompt-engineering-results/blob/main/experiment_samples/cycle_1/mrq_entry_457.txt" TargetMode="External"/><Relationship Id="rId14" Type="http://schemas.openxmlformats.org/officeDocument/2006/relationships/hyperlink" Target="https://github.com/isselab/2025-models-prompt-engineering-results/blob/main/experiment_samples/cycle_1/prompt_entry_411.txt" TargetMode="External"/><Relationship Id="rId17" Type="http://schemas.openxmlformats.org/officeDocument/2006/relationships/hyperlink" Target="https://github.com/isselab/2025-models-prompt-engineering-results/blob/main/experiment_samples/cycle_1/mrq_entry_467.txt" TargetMode="External"/><Relationship Id="rId16" Type="http://schemas.openxmlformats.org/officeDocument/2006/relationships/hyperlink" Target="https://github.com/isselab/2025-models-prompt-engineering-results/blob/main/experiment_samples/cycle_1/prompt_entry_457.txt" TargetMode="External"/><Relationship Id="rId19" Type="http://schemas.openxmlformats.org/officeDocument/2006/relationships/hyperlink" Target="https://github.com/isselab/2025-models-prompt-engineering-results/blob/main/experiment_samples/cycle_1/mrq_entry_540.txt" TargetMode="External"/><Relationship Id="rId18" Type="http://schemas.openxmlformats.org/officeDocument/2006/relationships/hyperlink" Target="https://github.com/isselab/2025-models-prompt-engineering-results/blob/main/experiment_samples/cycle_1/prompt_entry_467.txt" TargetMode="External"/><Relationship Id="rId84" Type="http://schemas.openxmlformats.org/officeDocument/2006/relationships/hyperlink" Target="https://github.com/isselab/2025-models-prompt-engineering-results/blob/main/experiment_samples/cycle_5/prompt_entry_108.txt" TargetMode="External"/><Relationship Id="rId83" Type="http://schemas.openxmlformats.org/officeDocument/2006/relationships/hyperlink" Target="https://github.com/isselab/2025-models-prompt-engineering-results/blob/main/experiment_samples/cycle_5/mrq_entry_108.txt" TargetMode="External"/><Relationship Id="rId86" Type="http://schemas.openxmlformats.org/officeDocument/2006/relationships/hyperlink" Target="https://github.com/isselab/2025-models-prompt-engineering-results/blob/main/experiment_samples/cycle_5/prompt_entry_109.txt" TargetMode="External"/><Relationship Id="rId85" Type="http://schemas.openxmlformats.org/officeDocument/2006/relationships/hyperlink" Target="https://github.com/isselab/2025-models-prompt-engineering-results/blob/main/experiment_samples/cycle_5/mrq_entry_109.txt" TargetMode="External"/><Relationship Id="rId88" Type="http://schemas.openxmlformats.org/officeDocument/2006/relationships/hyperlink" Target="https://github.com/isselab/2025-models-prompt-engineering-results/blob/main/experiment_samples/cycle_5/prompt_entry_325.txt" TargetMode="External"/><Relationship Id="rId87" Type="http://schemas.openxmlformats.org/officeDocument/2006/relationships/hyperlink" Target="https://github.com/isselab/2025-models-prompt-engineering-results/blob/main/experiment_samples/cycle_5/mrq_entry_325.txt" TargetMode="External"/><Relationship Id="rId89" Type="http://schemas.openxmlformats.org/officeDocument/2006/relationships/hyperlink" Target="https://github.com/isselab/2025-models-prompt-engineering-results/blob/main/experiment_samples/cycle_5/mrq_entry_371.txt" TargetMode="External"/><Relationship Id="rId80" Type="http://schemas.openxmlformats.org/officeDocument/2006/relationships/hyperlink" Target="https://github.com/isselab/2025-models-prompt-engineering-results/blob/main/experiment_samples/cycle_4/prompt_entry_566.txt" TargetMode="External"/><Relationship Id="rId82" Type="http://schemas.openxmlformats.org/officeDocument/2006/relationships/hyperlink" Target="https://github.com/isselab/2025-models-prompt-engineering-results/blob/main/experiment_samples/cycle_5/prompt_entry_89.txt" TargetMode="External"/><Relationship Id="rId81" Type="http://schemas.openxmlformats.org/officeDocument/2006/relationships/hyperlink" Target="https://github.com/isselab/2025-models-prompt-engineering-results/blob/main/experiment_samples/cycle_5/mrq_entry_89.txt" TargetMode="External"/><Relationship Id="rId1" Type="http://schemas.openxmlformats.org/officeDocument/2006/relationships/hyperlink" Target="https://github.com/isselab/2025-models-prompt-engineering-results/blob/main/experiment_samples/cycle_1/mrq_entry_6.txt" TargetMode="External"/><Relationship Id="rId2" Type="http://schemas.openxmlformats.org/officeDocument/2006/relationships/hyperlink" Target="https://github.com/isselab/2025-models-prompt-engineering-results/blob/main/experiment_samples/cycle_1/prompt_entry_6.txt" TargetMode="External"/><Relationship Id="rId3" Type="http://schemas.openxmlformats.org/officeDocument/2006/relationships/hyperlink" Target="https://github.com/isselab/2025-models-prompt-engineering-results/blob/main/experiment_samples/cycle_1/mrq_entry_64.txt" TargetMode="External"/><Relationship Id="rId4" Type="http://schemas.openxmlformats.org/officeDocument/2006/relationships/hyperlink" Target="https://github.com/isselab/2025-models-prompt-engineering-results/blob/main/experiment_samples/cycle_1/prompt_entry_64.txt" TargetMode="External"/><Relationship Id="rId9" Type="http://schemas.openxmlformats.org/officeDocument/2006/relationships/hyperlink" Target="https://github.com/isselab/2025-models-prompt-engineering-results/blob/main/experiment_samples/cycle_1/mrq_entry_317.txt" TargetMode="External"/><Relationship Id="rId5" Type="http://schemas.openxmlformats.org/officeDocument/2006/relationships/hyperlink" Target="https://github.com/isselab/2025-models-prompt-engineering-results/blob/main/experiment_samples/cycle_1/mrq_entry_73.txt" TargetMode="External"/><Relationship Id="rId6" Type="http://schemas.openxmlformats.org/officeDocument/2006/relationships/hyperlink" Target="https://github.com/isselab/2025-models-prompt-engineering-results/blob/main/experiment_samples/cycle_1/prompt_entry_73.txt" TargetMode="External"/><Relationship Id="rId7" Type="http://schemas.openxmlformats.org/officeDocument/2006/relationships/hyperlink" Target="https://github.com/isselab/2025-models-prompt-engineering-results/blob/main/experiment_samples/cycle_1/mrq_entry_266.txt" TargetMode="External"/><Relationship Id="rId8" Type="http://schemas.openxmlformats.org/officeDocument/2006/relationships/hyperlink" Target="https://github.com/isselab/2025-models-prompt-engineering-results/blob/main/experiment_samples/cycle_1/prompt_entry_266.txt" TargetMode="External"/><Relationship Id="rId73" Type="http://schemas.openxmlformats.org/officeDocument/2006/relationships/hyperlink" Target="https://github.com/isselab/2025-models-prompt-engineering-results/blob/main/experiment_samples/cycle_4/mrq_entry_435.txt" TargetMode="External"/><Relationship Id="rId72" Type="http://schemas.openxmlformats.org/officeDocument/2006/relationships/hyperlink" Target="https://github.com/isselab/2025-models-prompt-engineering-results/blob/main/experiment_samples/cycle_4/prompt_entry_402.txt" TargetMode="External"/><Relationship Id="rId75" Type="http://schemas.openxmlformats.org/officeDocument/2006/relationships/hyperlink" Target="https://github.com/isselab/2025-models-prompt-engineering-results/blob/main/experiment_samples/cycle_4/mrq_entry_440.txt" TargetMode="External"/><Relationship Id="rId74" Type="http://schemas.openxmlformats.org/officeDocument/2006/relationships/hyperlink" Target="https://github.com/isselab/2025-models-prompt-engineering-results/blob/main/experiment_samples/cycle_4/prompt_entry_435.txt" TargetMode="External"/><Relationship Id="rId77" Type="http://schemas.openxmlformats.org/officeDocument/2006/relationships/hyperlink" Target="https://github.com/isselab/2025-models-prompt-engineering-results/blob/main/experiment_samples/cycle_4/mrq_entry_485.txt" TargetMode="External"/><Relationship Id="rId76" Type="http://schemas.openxmlformats.org/officeDocument/2006/relationships/hyperlink" Target="https://github.com/isselab/2025-models-prompt-engineering-results/blob/main/experiment_samples/cycle_4/prompt_entry_440.txt" TargetMode="External"/><Relationship Id="rId79" Type="http://schemas.openxmlformats.org/officeDocument/2006/relationships/hyperlink" Target="https://github.com/isselab/2025-models-prompt-engineering-results/blob/main/experiment_samples/cycle_4/mrq_entry_566.txt" TargetMode="External"/><Relationship Id="rId78" Type="http://schemas.openxmlformats.org/officeDocument/2006/relationships/hyperlink" Target="https://github.com/isselab/2025-models-prompt-engineering-results/blob/main/experiment_samples/cycle_4/prompt_entry_485.txt" TargetMode="External"/><Relationship Id="rId71" Type="http://schemas.openxmlformats.org/officeDocument/2006/relationships/hyperlink" Target="https://github.com/isselab/2025-models-prompt-engineering-results/blob/main/experiment_samples/cycle_4/mrq_entry_402.txt" TargetMode="External"/><Relationship Id="rId70" Type="http://schemas.openxmlformats.org/officeDocument/2006/relationships/hyperlink" Target="https://github.com/isselab/2025-models-prompt-engineering-results/blob/main/experiment_samples/cycle_4/prompt_entry_376.txt" TargetMode="External"/><Relationship Id="rId62" Type="http://schemas.openxmlformats.org/officeDocument/2006/relationships/hyperlink" Target="https://github.com/isselab/2025-models-prompt-engineering-results/blob/main/experiment_samples/cycle_4/prompt_entry_32.txt" TargetMode="External"/><Relationship Id="rId61" Type="http://schemas.openxmlformats.org/officeDocument/2006/relationships/hyperlink" Target="https://github.com/isselab/2025-models-prompt-engineering-results/blob/main/experiment_samples/cycle_4/mrq_entry_32.txt" TargetMode="External"/><Relationship Id="rId64" Type="http://schemas.openxmlformats.org/officeDocument/2006/relationships/hyperlink" Target="https://github.com/isselab/2025-models-prompt-engineering-results/blob/main/experiment_samples/cycle_4/prompt_entry_41.txt" TargetMode="External"/><Relationship Id="rId63" Type="http://schemas.openxmlformats.org/officeDocument/2006/relationships/hyperlink" Target="https://github.com/isselab/2025-models-prompt-engineering-results/blob/main/experiment_samples/cycle_4/mrq_entry_41.txt" TargetMode="External"/><Relationship Id="rId66" Type="http://schemas.openxmlformats.org/officeDocument/2006/relationships/hyperlink" Target="https://github.com/isselab/2025-models-prompt-engineering-results/blob/main/experiment_samples/cycle_4/prompt_entry_194.txt" TargetMode="External"/><Relationship Id="rId65" Type="http://schemas.openxmlformats.org/officeDocument/2006/relationships/hyperlink" Target="https://github.com/isselab/2025-models-prompt-engineering-results/blob/main/experiment_samples/cycle_4/mrq_entry_194.txt" TargetMode="External"/><Relationship Id="rId68" Type="http://schemas.openxmlformats.org/officeDocument/2006/relationships/hyperlink" Target="https://github.com/isselab/2025-models-prompt-engineering-results/blob/main/experiment_samples/cycle_4/prompt_entry_321.txt" TargetMode="External"/><Relationship Id="rId67" Type="http://schemas.openxmlformats.org/officeDocument/2006/relationships/hyperlink" Target="https://github.com/isselab/2025-models-prompt-engineering-results/blob/main/experiment_samples/cycle_4/mrq_entry_321.txt" TargetMode="External"/><Relationship Id="rId60" Type="http://schemas.openxmlformats.org/officeDocument/2006/relationships/hyperlink" Target="https://github.com/isselab/2025-models-prompt-engineering-results/blob/main/experiment_samples/cycle_3/prompt_entry_552.txt" TargetMode="External"/><Relationship Id="rId69" Type="http://schemas.openxmlformats.org/officeDocument/2006/relationships/hyperlink" Target="https://github.com/isselab/2025-models-prompt-engineering-results/blob/main/experiment_samples/cycle_4/mrq_entry_376.txt" TargetMode="External"/><Relationship Id="rId51" Type="http://schemas.openxmlformats.org/officeDocument/2006/relationships/hyperlink" Target="https://github.com/isselab/2025-models-prompt-engineering-results/blob/main/experiment_samples/cycle_3/mrq_entry_248.txt" TargetMode="External"/><Relationship Id="rId50" Type="http://schemas.openxmlformats.org/officeDocument/2006/relationships/hyperlink" Target="https://github.com/isselab/2025-models-prompt-engineering-results/blob/main/experiment_samples/cycle_3/prompt_entry_155.txt" TargetMode="External"/><Relationship Id="rId53" Type="http://schemas.openxmlformats.org/officeDocument/2006/relationships/hyperlink" Target="https://github.com/isselab/2025-models-prompt-engineering-results/blob/main/experiment_samples/cycle_3/mrq_entry_256.txt" TargetMode="External"/><Relationship Id="rId52" Type="http://schemas.openxmlformats.org/officeDocument/2006/relationships/hyperlink" Target="https://github.com/isselab/2025-models-prompt-engineering-results/blob/main/experiment_samples/cycle_3/prompt_entry_248.txt" TargetMode="External"/><Relationship Id="rId55" Type="http://schemas.openxmlformats.org/officeDocument/2006/relationships/hyperlink" Target="https://github.com/isselab/2025-models-prompt-engineering-results/blob/main/experiment_samples/cycle_3/mrq_entry_345.txt" TargetMode="External"/><Relationship Id="rId54" Type="http://schemas.openxmlformats.org/officeDocument/2006/relationships/hyperlink" Target="https://github.com/isselab/2025-models-prompt-engineering-results/blob/main/experiment_samples/cycle_3/prompt_entry_256.txt" TargetMode="External"/><Relationship Id="rId57" Type="http://schemas.openxmlformats.org/officeDocument/2006/relationships/hyperlink" Target="https://github.com/isselab/2025-models-prompt-engineering-results/blob/main/experiment_samples/cycle_3/mrq_entry_380.txt" TargetMode="External"/><Relationship Id="rId56" Type="http://schemas.openxmlformats.org/officeDocument/2006/relationships/hyperlink" Target="https://github.com/isselab/2025-models-prompt-engineering-results/blob/main/experiment_samples/cycle_3/prompt_entry_345.txt" TargetMode="External"/><Relationship Id="rId59" Type="http://schemas.openxmlformats.org/officeDocument/2006/relationships/hyperlink" Target="https://github.com/isselab/2025-models-prompt-engineering-results/blob/main/experiment_samples/cycle_3/mrq_entry_552.txt" TargetMode="External"/><Relationship Id="rId58" Type="http://schemas.openxmlformats.org/officeDocument/2006/relationships/hyperlink" Target="https://github.com/isselab/2025-models-prompt-engineering-results/blob/main/experiment_samples/cycle_3/prompt_entry_380.tx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9.63"/>
    <col customWidth="1" min="2" max="2" width="35.75"/>
    <col customWidth="1" min="3" max="3" width="11.0"/>
    <col customWidth="1" min="4" max="4" width="11.5"/>
    <col customWidth="1" min="5" max="5" width="12.75"/>
    <col customWidth="1" min="6" max="7" width="9.63"/>
    <col customWidth="1" min="8" max="8" width="12.13"/>
    <col customWidth="1" min="9" max="9" width="9.5"/>
    <col customWidth="1" min="10" max="10" width="11.5"/>
    <col customWidth="1" min="12" max="12" width="11.75"/>
    <col customWidth="1" min="13" max="14" width="9.5"/>
    <col customWidth="1" min="15" max="15" width="13.13"/>
    <col customWidth="1" min="16" max="16" width="9.5"/>
    <col customWidth="1" min="17" max="17" width="11.38"/>
    <col customWidth="1" min="19" max="19" width="10.25"/>
    <col customWidth="1" min="20" max="20" width="10.13"/>
    <col customWidth="1" min="21" max="21" width="14.5"/>
    <col customWidth="1" min="22" max="22" width="9.63"/>
    <col customWidth="1" min="23" max="23" width="15.5"/>
  </cols>
  <sheetData>
    <row r="1" ht="21.0" customHeight="1">
      <c r="A1" s="1"/>
      <c r="B1" s="2"/>
      <c r="C1" s="2"/>
      <c r="D1" s="3" t="s">
        <v>0</v>
      </c>
      <c r="S1" s="4" t="s">
        <v>1</v>
      </c>
    </row>
    <row r="2">
      <c r="A2" s="5"/>
      <c r="B2" s="6" t="s">
        <v>2</v>
      </c>
      <c r="C2" s="7" t="s">
        <v>3</v>
      </c>
      <c r="D2" s="8" t="s">
        <v>4</v>
      </c>
      <c r="E2" s="6" t="s">
        <v>5</v>
      </c>
      <c r="L2" s="6" t="s">
        <v>6</v>
      </c>
      <c r="S2" s="8" t="s">
        <v>7</v>
      </c>
      <c r="T2" s="6" t="s">
        <v>5</v>
      </c>
      <c r="V2" s="6" t="s">
        <v>6</v>
      </c>
      <c r="X2" s="9"/>
      <c r="Y2" s="9"/>
      <c r="Z2" s="9"/>
      <c r="AA2" s="6" t="s">
        <v>8</v>
      </c>
      <c r="AF2" s="9"/>
      <c r="AG2" s="9"/>
      <c r="AH2" s="9"/>
      <c r="AI2" s="9"/>
    </row>
    <row r="3">
      <c r="A3" s="6" t="s">
        <v>9</v>
      </c>
      <c r="E3" s="10" t="s">
        <v>10</v>
      </c>
      <c r="F3" s="6" t="s">
        <v>11</v>
      </c>
      <c r="G3" s="6" t="s">
        <v>12</v>
      </c>
      <c r="H3" s="6" t="s">
        <v>13</v>
      </c>
      <c r="I3" s="6" t="s">
        <v>14</v>
      </c>
      <c r="J3" s="6" t="s">
        <v>15</v>
      </c>
      <c r="K3" s="6" t="s">
        <v>16</v>
      </c>
      <c r="L3" s="10" t="s">
        <v>10</v>
      </c>
      <c r="M3" s="6" t="s">
        <v>11</v>
      </c>
      <c r="N3" s="6" t="s">
        <v>12</v>
      </c>
      <c r="O3" s="6" t="s">
        <v>13</v>
      </c>
      <c r="P3" s="6" t="s">
        <v>14</v>
      </c>
      <c r="Q3" s="6" t="s">
        <v>15</v>
      </c>
      <c r="R3" s="6" t="s">
        <v>16</v>
      </c>
      <c r="T3" s="6" t="s">
        <v>17</v>
      </c>
      <c r="U3" s="6" t="s">
        <v>16</v>
      </c>
      <c r="V3" s="6" t="s">
        <v>17</v>
      </c>
      <c r="W3" s="6" t="s">
        <v>16</v>
      </c>
      <c r="X3" s="6" t="s">
        <v>18</v>
      </c>
      <c r="AA3" s="7" t="s">
        <v>11</v>
      </c>
      <c r="AB3" s="6" t="s">
        <v>12</v>
      </c>
      <c r="AC3" s="6" t="s">
        <v>13</v>
      </c>
      <c r="AD3" s="6" t="s">
        <v>14</v>
      </c>
      <c r="AE3" s="6" t="s">
        <v>15</v>
      </c>
      <c r="AF3" s="9"/>
      <c r="AG3" s="9"/>
      <c r="AH3" s="9"/>
      <c r="AI3" s="9"/>
    </row>
    <row r="4">
      <c r="A4" s="11" t="s">
        <v>19</v>
      </c>
      <c r="B4" s="12"/>
      <c r="C4" s="12"/>
      <c r="D4" s="12"/>
      <c r="E4" s="12"/>
      <c r="F4" s="12"/>
      <c r="G4" s="12"/>
      <c r="H4" s="12"/>
      <c r="I4" s="12"/>
      <c r="J4" s="12"/>
      <c r="K4" s="12"/>
      <c r="L4" s="12"/>
      <c r="M4" s="12"/>
      <c r="N4" s="12"/>
      <c r="O4" s="12"/>
      <c r="P4" s="12"/>
      <c r="Q4" s="12"/>
      <c r="R4" s="12"/>
      <c r="S4" s="12"/>
      <c r="T4" s="12"/>
      <c r="U4" s="12"/>
      <c r="V4" s="12"/>
      <c r="W4" s="12"/>
      <c r="X4" s="12"/>
      <c r="AA4" s="12"/>
      <c r="AB4" s="12"/>
      <c r="AC4" s="12"/>
      <c r="AD4" s="12"/>
      <c r="AE4" s="12"/>
      <c r="AF4" s="12"/>
      <c r="AG4" s="12"/>
      <c r="AH4" s="12"/>
      <c r="AI4" s="12"/>
    </row>
    <row r="5">
      <c r="A5" s="1" t="s">
        <v>20</v>
      </c>
      <c r="B5" s="13" t="s">
        <v>21</v>
      </c>
      <c r="C5" s="14">
        <v>5.0</v>
      </c>
      <c r="D5" s="15">
        <f t="shared" ref="D5:D14" si="2">AVERAGE(E5, L5)
</f>
        <v>2.4</v>
      </c>
      <c r="E5" s="16">
        <f t="shared" ref="E5:E14" si="3">AVERAGE(F5, G5, H5, I5, J5)</f>
        <v>2</v>
      </c>
      <c r="F5" s="16">
        <v>2.0</v>
      </c>
      <c r="G5" s="16">
        <v>2.0</v>
      </c>
      <c r="H5" s="16">
        <v>2.0</v>
      </c>
      <c r="I5" s="16">
        <v>1.0</v>
      </c>
      <c r="J5" s="16">
        <v>3.0</v>
      </c>
      <c r="K5" s="1" t="s">
        <v>22</v>
      </c>
      <c r="L5" s="16">
        <f t="shared" ref="L5:L14" si="4">AVERAGE(M5, N5, O5, P5, Q5)</f>
        <v>2.8</v>
      </c>
      <c r="M5" s="16">
        <v>2.0</v>
      </c>
      <c r="N5" s="16">
        <v>3.0</v>
      </c>
      <c r="O5" s="16">
        <v>4.0</v>
      </c>
      <c r="P5" s="16">
        <v>1.0</v>
      </c>
      <c r="Q5" s="16">
        <v>4.0</v>
      </c>
      <c r="R5" s="1" t="s">
        <v>23</v>
      </c>
      <c r="S5" s="15">
        <f t="shared" ref="S5:S14" si="5">AVERAGE(T5, V5)
</f>
        <v>3.5</v>
      </c>
      <c r="T5" s="16">
        <v>3.0</v>
      </c>
      <c r="U5" s="1" t="s">
        <v>24</v>
      </c>
      <c r="V5" s="16">
        <v>4.0</v>
      </c>
      <c r="X5" s="17" t="s">
        <v>25</v>
      </c>
      <c r="AA5" s="18">
        <f t="shared" ref="AA5:AE5" si="1">ABS(F5-M5)</f>
        <v>0</v>
      </c>
      <c r="AB5" s="18">
        <f t="shared" si="1"/>
        <v>1</v>
      </c>
      <c r="AC5" s="18">
        <f t="shared" si="1"/>
        <v>2</v>
      </c>
      <c r="AD5" s="18">
        <f t="shared" si="1"/>
        <v>0</v>
      </c>
      <c r="AE5" s="18">
        <f t="shared" si="1"/>
        <v>1</v>
      </c>
    </row>
    <row r="6">
      <c r="A6" s="1" t="s">
        <v>26</v>
      </c>
      <c r="B6" s="13" t="s">
        <v>27</v>
      </c>
      <c r="C6" s="14">
        <v>1.0</v>
      </c>
      <c r="D6" s="15">
        <f t="shared" si="2"/>
        <v>2.7</v>
      </c>
      <c r="E6" s="16">
        <f t="shared" si="3"/>
        <v>2.6</v>
      </c>
      <c r="F6" s="16">
        <v>3.0</v>
      </c>
      <c r="G6" s="16">
        <v>3.0</v>
      </c>
      <c r="H6" s="16">
        <v>3.0</v>
      </c>
      <c r="I6" s="16">
        <v>1.0</v>
      </c>
      <c r="J6" s="16">
        <v>3.0</v>
      </c>
      <c r="K6" s="19" t="s">
        <v>28</v>
      </c>
      <c r="L6" s="16">
        <f t="shared" si="4"/>
        <v>2.8</v>
      </c>
      <c r="M6" s="16">
        <v>4.0</v>
      </c>
      <c r="N6" s="16">
        <v>3.0</v>
      </c>
      <c r="O6" s="16">
        <v>4.0</v>
      </c>
      <c r="P6" s="16">
        <v>1.0</v>
      </c>
      <c r="Q6" s="16">
        <v>2.0</v>
      </c>
      <c r="R6" s="1" t="s">
        <v>29</v>
      </c>
      <c r="S6" s="15">
        <f t="shared" si="5"/>
        <v>2.5</v>
      </c>
      <c r="T6" s="16">
        <v>2.0</v>
      </c>
      <c r="U6" s="1" t="s">
        <v>30</v>
      </c>
      <c r="V6" s="16">
        <v>3.0</v>
      </c>
      <c r="W6" s="1" t="s">
        <v>31</v>
      </c>
      <c r="X6" s="20" t="s">
        <v>32</v>
      </c>
      <c r="AA6" s="18">
        <f t="shared" ref="AA6:AE6" si="6">ABS(F6-M6)</f>
        <v>1</v>
      </c>
      <c r="AB6" s="18">
        <f t="shared" si="6"/>
        <v>0</v>
      </c>
      <c r="AC6" s="18">
        <f t="shared" si="6"/>
        <v>1</v>
      </c>
      <c r="AD6" s="18">
        <f t="shared" si="6"/>
        <v>0</v>
      </c>
      <c r="AE6" s="18">
        <f t="shared" si="6"/>
        <v>1</v>
      </c>
    </row>
    <row r="7">
      <c r="A7" s="1" t="s">
        <v>33</v>
      </c>
      <c r="B7" s="13" t="s">
        <v>34</v>
      </c>
      <c r="C7" s="14">
        <v>2.0</v>
      </c>
      <c r="D7" s="15">
        <f t="shared" si="2"/>
        <v>2.7</v>
      </c>
      <c r="E7" s="16">
        <f t="shared" si="3"/>
        <v>2.8</v>
      </c>
      <c r="F7" s="16">
        <v>3.0</v>
      </c>
      <c r="G7" s="16">
        <v>3.0</v>
      </c>
      <c r="H7" s="16">
        <v>4.0</v>
      </c>
      <c r="I7" s="16">
        <v>1.0</v>
      </c>
      <c r="J7" s="16">
        <v>3.0</v>
      </c>
      <c r="K7" s="19" t="s">
        <v>35</v>
      </c>
      <c r="L7" s="16">
        <f t="shared" si="4"/>
        <v>2.6</v>
      </c>
      <c r="M7" s="16">
        <v>4.0</v>
      </c>
      <c r="N7" s="16">
        <v>2.0</v>
      </c>
      <c r="O7" s="16">
        <v>2.0</v>
      </c>
      <c r="P7" s="16">
        <v>1.0</v>
      </c>
      <c r="Q7" s="16">
        <v>4.0</v>
      </c>
      <c r="R7" s="1" t="s">
        <v>36</v>
      </c>
      <c r="S7" s="15">
        <f t="shared" si="5"/>
        <v>2</v>
      </c>
      <c r="T7" s="16">
        <v>2.0</v>
      </c>
      <c r="U7" s="1" t="s">
        <v>37</v>
      </c>
      <c r="V7" s="16">
        <v>2.0</v>
      </c>
      <c r="W7" s="1" t="s">
        <v>38</v>
      </c>
      <c r="X7" s="20" t="s">
        <v>39</v>
      </c>
      <c r="AA7" s="18">
        <f t="shared" ref="AA7:AE7" si="7">ABS(F7-M7)</f>
        <v>1</v>
      </c>
      <c r="AB7" s="18">
        <f t="shared" si="7"/>
        <v>1</v>
      </c>
      <c r="AC7" s="18">
        <f t="shared" si="7"/>
        <v>2</v>
      </c>
      <c r="AD7" s="18">
        <f t="shared" si="7"/>
        <v>0</v>
      </c>
      <c r="AE7" s="18">
        <f t="shared" si="7"/>
        <v>1</v>
      </c>
    </row>
    <row r="8">
      <c r="A8" s="1" t="s">
        <v>40</v>
      </c>
      <c r="B8" s="21" t="s">
        <v>41</v>
      </c>
      <c r="C8" s="14">
        <v>2.0</v>
      </c>
      <c r="D8" s="15">
        <f t="shared" si="2"/>
        <v>2.6</v>
      </c>
      <c r="E8" s="16">
        <f t="shared" si="3"/>
        <v>2.4</v>
      </c>
      <c r="F8" s="16">
        <v>2.0</v>
      </c>
      <c r="G8" s="16">
        <v>2.0</v>
      </c>
      <c r="H8" s="16">
        <v>3.0</v>
      </c>
      <c r="I8" s="16">
        <v>1.0</v>
      </c>
      <c r="J8" s="16">
        <v>4.0</v>
      </c>
      <c r="K8" s="19" t="s">
        <v>42</v>
      </c>
      <c r="L8" s="16">
        <f t="shared" si="4"/>
        <v>2.8</v>
      </c>
      <c r="M8" s="16">
        <v>3.0</v>
      </c>
      <c r="N8" s="16">
        <v>3.0</v>
      </c>
      <c r="O8" s="16">
        <v>3.0</v>
      </c>
      <c r="P8" s="16">
        <v>1.0</v>
      </c>
      <c r="Q8" s="16">
        <v>4.0</v>
      </c>
      <c r="R8" s="1" t="s">
        <v>43</v>
      </c>
      <c r="S8" s="15">
        <f t="shared" si="5"/>
        <v>3.5</v>
      </c>
      <c r="T8" s="16">
        <v>3.0</v>
      </c>
      <c r="U8" s="19" t="s">
        <v>44</v>
      </c>
      <c r="V8" s="16">
        <v>4.0</v>
      </c>
      <c r="X8" s="20" t="s">
        <v>45</v>
      </c>
      <c r="AA8" s="18">
        <f t="shared" ref="AA8:AE8" si="8">ABS(F8-M8)</f>
        <v>1</v>
      </c>
      <c r="AB8" s="18">
        <f t="shared" si="8"/>
        <v>1</v>
      </c>
      <c r="AC8" s="18">
        <f t="shared" si="8"/>
        <v>0</v>
      </c>
      <c r="AD8" s="18">
        <f t="shared" si="8"/>
        <v>0</v>
      </c>
      <c r="AE8" s="18">
        <f t="shared" si="8"/>
        <v>0</v>
      </c>
    </row>
    <row r="9">
      <c r="A9" s="1" t="s">
        <v>46</v>
      </c>
      <c r="B9" s="13" t="s">
        <v>47</v>
      </c>
      <c r="C9" s="14">
        <v>2.0</v>
      </c>
      <c r="D9" s="15">
        <f t="shared" si="2"/>
        <v>2.3</v>
      </c>
      <c r="E9" s="16">
        <f t="shared" si="3"/>
        <v>2.2</v>
      </c>
      <c r="F9" s="16">
        <v>1.0</v>
      </c>
      <c r="G9" s="16">
        <v>3.0</v>
      </c>
      <c r="H9" s="16">
        <v>3.0</v>
      </c>
      <c r="I9" s="16">
        <v>1.0</v>
      </c>
      <c r="J9" s="16">
        <v>3.0</v>
      </c>
      <c r="K9" s="19" t="s">
        <v>48</v>
      </c>
      <c r="L9" s="16">
        <f t="shared" si="4"/>
        <v>2.4</v>
      </c>
      <c r="M9" s="16">
        <v>2.0</v>
      </c>
      <c r="N9" s="16">
        <v>2.0</v>
      </c>
      <c r="O9" s="16">
        <v>4.0</v>
      </c>
      <c r="P9" s="16">
        <v>1.0</v>
      </c>
      <c r="Q9" s="16">
        <v>3.0</v>
      </c>
      <c r="R9" s="1" t="s">
        <v>49</v>
      </c>
      <c r="S9" s="15">
        <f t="shared" si="5"/>
        <v>2.5</v>
      </c>
      <c r="T9" s="16">
        <v>2.0</v>
      </c>
      <c r="U9" s="19" t="s">
        <v>50</v>
      </c>
      <c r="V9" s="16">
        <v>3.0</v>
      </c>
      <c r="W9" s="1" t="s">
        <v>51</v>
      </c>
      <c r="X9" s="20" t="s">
        <v>52</v>
      </c>
      <c r="AA9" s="18">
        <f t="shared" ref="AA9:AE9" si="9">ABS(F9-M9)</f>
        <v>1</v>
      </c>
      <c r="AB9" s="18">
        <f t="shared" si="9"/>
        <v>1</v>
      </c>
      <c r="AC9" s="18">
        <f t="shared" si="9"/>
        <v>1</v>
      </c>
      <c r="AD9" s="18">
        <f t="shared" si="9"/>
        <v>0</v>
      </c>
      <c r="AE9" s="18">
        <f t="shared" si="9"/>
        <v>0</v>
      </c>
    </row>
    <row r="10">
      <c r="A10" s="1" t="s">
        <v>53</v>
      </c>
      <c r="B10" s="13" t="s">
        <v>54</v>
      </c>
      <c r="C10" s="14">
        <v>1.0</v>
      </c>
      <c r="D10" s="15">
        <f t="shared" si="2"/>
        <v>2.5</v>
      </c>
      <c r="E10" s="16">
        <f t="shared" si="3"/>
        <v>2.8</v>
      </c>
      <c r="F10" s="16">
        <v>1.0</v>
      </c>
      <c r="G10" s="16">
        <v>4.0</v>
      </c>
      <c r="H10" s="16">
        <v>4.0</v>
      </c>
      <c r="I10" s="16">
        <v>1.0</v>
      </c>
      <c r="J10" s="16">
        <v>4.0</v>
      </c>
      <c r="K10" s="19" t="s">
        <v>55</v>
      </c>
      <c r="L10" s="16">
        <f t="shared" si="4"/>
        <v>2.2</v>
      </c>
      <c r="M10" s="16">
        <v>2.0</v>
      </c>
      <c r="N10" s="16">
        <v>2.0</v>
      </c>
      <c r="O10" s="16">
        <v>3.0</v>
      </c>
      <c r="P10" s="16">
        <v>1.0</v>
      </c>
      <c r="Q10" s="16">
        <v>3.0</v>
      </c>
      <c r="R10" s="1" t="s">
        <v>56</v>
      </c>
      <c r="S10" s="15">
        <f t="shared" si="5"/>
        <v>2.5</v>
      </c>
      <c r="T10" s="16">
        <v>3.0</v>
      </c>
      <c r="U10" s="19" t="s">
        <v>57</v>
      </c>
      <c r="V10" s="16">
        <v>2.0</v>
      </c>
      <c r="W10" s="1" t="s">
        <v>58</v>
      </c>
      <c r="X10" s="20" t="s">
        <v>59</v>
      </c>
      <c r="AA10" s="18">
        <f t="shared" ref="AA10:AE10" si="10">ABS(F10-M10)</f>
        <v>1</v>
      </c>
      <c r="AB10" s="18">
        <f t="shared" si="10"/>
        <v>2</v>
      </c>
      <c r="AC10" s="18">
        <f t="shared" si="10"/>
        <v>1</v>
      </c>
      <c r="AD10" s="18">
        <f t="shared" si="10"/>
        <v>0</v>
      </c>
      <c r="AE10" s="18">
        <f t="shared" si="10"/>
        <v>1</v>
      </c>
    </row>
    <row r="11">
      <c r="A11" s="1" t="s">
        <v>60</v>
      </c>
      <c r="B11" s="21" t="s">
        <v>61</v>
      </c>
      <c r="C11" s="22">
        <v>1.0</v>
      </c>
      <c r="D11" s="15">
        <f t="shared" si="2"/>
        <v>2.4</v>
      </c>
      <c r="E11" s="16">
        <f t="shared" si="3"/>
        <v>2.2</v>
      </c>
      <c r="F11" s="16">
        <v>1.0</v>
      </c>
      <c r="G11" s="16">
        <v>4.0</v>
      </c>
      <c r="H11" s="16">
        <v>1.0</v>
      </c>
      <c r="I11" s="16">
        <v>1.0</v>
      </c>
      <c r="J11" s="16">
        <v>4.0</v>
      </c>
      <c r="K11" s="19" t="s">
        <v>62</v>
      </c>
      <c r="L11" s="16">
        <f t="shared" si="4"/>
        <v>2.6</v>
      </c>
      <c r="M11" s="16">
        <v>2.0</v>
      </c>
      <c r="N11" s="16">
        <v>2.0</v>
      </c>
      <c r="O11" s="16">
        <v>4.0</v>
      </c>
      <c r="P11" s="16">
        <v>1.0</v>
      </c>
      <c r="Q11" s="16">
        <v>4.0</v>
      </c>
      <c r="R11" s="1" t="s">
        <v>63</v>
      </c>
      <c r="S11" s="15">
        <f t="shared" si="5"/>
        <v>3</v>
      </c>
      <c r="T11" s="16">
        <v>3.0</v>
      </c>
      <c r="V11" s="16">
        <v>3.0</v>
      </c>
      <c r="W11" s="1" t="s">
        <v>64</v>
      </c>
      <c r="X11" s="20" t="s">
        <v>65</v>
      </c>
      <c r="AA11" s="18">
        <f t="shared" ref="AA11:AE11" si="11">ABS(F11-M11)</f>
        <v>1</v>
      </c>
      <c r="AB11" s="18">
        <f t="shared" si="11"/>
        <v>2</v>
      </c>
      <c r="AC11" s="18">
        <f t="shared" si="11"/>
        <v>3</v>
      </c>
      <c r="AD11" s="18">
        <f t="shared" si="11"/>
        <v>0</v>
      </c>
      <c r="AE11" s="18">
        <f t="shared" si="11"/>
        <v>0</v>
      </c>
    </row>
    <row r="12">
      <c r="A12" s="1" t="s">
        <v>66</v>
      </c>
      <c r="B12" s="13" t="s">
        <v>67</v>
      </c>
      <c r="C12" s="14">
        <v>1.0</v>
      </c>
      <c r="D12" s="15">
        <f t="shared" si="2"/>
        <v>2.2</v>
      </c>
      <c r="E12" s="16">
        <f t="shared" si="3"/>
        <v>2</v>
      </c>
      <c r="F12" s="16">
        <v>1.0</v>
      </c>
      <c r="G12" s="16">
        <v>2.0</v>
      </c>
      <c r="H12" s="16">
        <v>3.0</v>
      </c>
      <c r="I12" s="16">
        <v>1.0</v>
      </c>
      <c r="J12" s="16">
        <v>3.0</v>
      </c>
      <c r="K12" s="19" t="s">
        <v>68</v>
      </c>
      <c r="L12" s="16">
        <f t="shared" si="4"/>
        <v>2.4</v>
      </c>
      <c r="M12" s="16">
        <v>2.0</v>
      </c>
      <c r="N12" s="16">
        <v>2.0</v>
      </c>
      <c r="O12" s="16">
        <v>4.0</v>
      </c>
      <c r="P12" s="16">
        <v>1.0</v>
      </c>
      <c r="Q12" s="16">
        <v>3.0</v>
      </c>
      <c r="R12" s="1" t="s">
        <v>69</v>
      </c>
      <c r="S12" s="15">
        <f t="shared" si="5"/>
        <v>3</v>
      </c>
      <c r="T12" s="16">
        <v>3.0</v>
      </c>
      <c r="V12" s="16">
        <v>3.0</v>
      </c>
      <c r="W12" s="1" t="s">
        <v>70</v>
      </c>
      <c r="X12" s="20" t="s">
        <v>71</v>
      </c>
      <c r="AA12" s="18">
        <f t="shared" ref="AA12:AE12" si="12">ABS(F12-M12)</f>
        <v>1</v>
      </c>
      <c r="AB12" s="18">
        <f t="shared" si="12"/>
        <v>0</v>
      </c>
      <c r="AC12" s="18">
        <f t="shared" si="12"/>
        <v>1</v>
      </c>
      <c r="AD12" s="18">
        <f t="shared" si="12"/>
        <v>0</v>
      </c>
      <c r="AE12" s="18">
        <f t="shared" si="12"/>
        <v>0</v>
      </c>
    </row>
    <row r="13">
      <c r="A13" s="1" t="s">
        <v>72</v>
      </c>
      <c r="B13" s="13" t="s">
        <v>73</v>
      </c>
      <c r="C13" s="14">
        <v>1.0</v>
      </c>
      <c r="D13" s="15">
        <f t="shared" si="2"/>
        <v>2.8</v>
      </c>
      <c r="E13" s="16">
        <f t="shared" si="3"/>
        <v>3</v>
      </c>
      <c r="F13" s="16">
        <v>3.0</v>
      </c>
      <c r="G13" s="16">
        <v>4.0</v>
      </c>
      <c r="H13" s="16">
        <v>3.0</v>
      </c>
      <c r="I13" s="16">
        <v>1.0</v>
      </c>
      <c r="J13" s="16">
        <v>4.0</v>
      </c>
      <c r="K13" s="19" t="s">
        <v>74</v>
      </c>
      <c r="L13" s="16">
        <f t="shared" si="4"/>
        <v>2.6</v>
      </c>
      <c r="M13" s="16">
        <v>3.0</v>
      </c>
      <c r="N13" s="16">
        <v>2.0</v>
      </c>
      <c r="O13" s="16">
        <v>4.0</v>
      </c>
      <c r="P13" s="16">
        <v>1.0</v>
      </c>
      <c r="Q13" s="16">
        <v>3.0</v>
      </c>
      <c r="R13" s="1" t="s">
        <v>75</v>
      </c>
      <c r="S13" s="15">
        <f t="shared" si="5"/>
        <v>3</v>
      </c>
      <c r="T13" s="16">
        <v>3.0</v>
      </c>
      <c r="V13" s="16">
        <v>3.0</v>
      </c>
      <c r="W13" s="1" t="s">
        <v>76</v>
      </c>
      <c r="X13" s="20" t="s">
        <v>77</v>
      </c>
      <c r="AA13" s="18">
        <f t="shared" ref="AA13:AE13" si="13">ABS(F13-M13)</f>
        <v>0</v>
      </c>
      <c r="AB13" s="18">
        <f t="shared" si="13"/>
        <v>2</v>
      </c>
      <c r="AC13" s="18">
        <f t="shared" si="13"/>
        <v>1</v>
      </c>
      <c r="AD13" s="18">
        <f t="shared" si="13"/>
        <v>0</v>
      </c>
      <c r="AE13" s="18">
        <f t="shared" si="13"/>
        <v>1</v>
      </c>
    </row>
    <row r="14">
      <c r="A14" s="1" t="s">
        <v>78</v>
      </c>
      <c r="B14" s="13" t="s">
        <v>79</v>
      </c>
      <c r="C14" s="14">
        <v>1.0</v>
      </c>
      <c r="D14" s="15">
        <f t="shared" si="2"/>
        <v>2.8</v>
      </c>
      <c r="E14" s="16">
        <f t="shared" si="3"/>
        <v>2.8</v>
      </c>
      <c r="F14" s="16">
        <v>1.0</v>
      </c>
      <c r="G14" s="16">
        <v>4.0</v>
      </c>
      <c r="H14" s="16">
        <v>4.0</v>
      </c>
      <c r="I14" s="16">
        <v>1.0</v>
      </c>
      <c r="J14" s="16">
        <v>4.0</v>
      </c>
      <c r="K14" s="19" t="s">
        <v>80</v>
      </c>
      <c r="L14" s="16">
        <f t="shared" si="4"/>
        <v>2.8</v>
      </c>
      <c r="M14" s="16">
        <v>4.0</v>
      </c>
      <c r="N14" s="16">
        <v>2.0</v>
      </c>
      <c r="O14" s="16">
        <v>4.0</v>
      </c>
      <c r="P14" s="16">
        <v>1.0</v>
      </c>
      <c r="Q14" s="16">
        <v>3.0</v>
      </c>
      <c r="R14" s="1" t="s">
        <v>81</v>
      </c>
      <c r="S14" s="15">
        <f t="shared" si="5"/>
        <v>3</v>
      </c>
      <c r="T14" s="16">
        <v>2.0</v>
      </c>
      <c r="U14" s="19" t="s">
        <v>82</v>
      </c>
      <c r="V14" s="16">
        <v>4.0</v>
      </c>
      <c r="X14" s="20" t="s">
        <v>83</v>
      </c>
      <c r="AA14" s="18">
        <f t="shared" ref="AA14:AE14" si="14">ABS(F14-M14)</f>
        <v>3</v>
      </c>
      <c r="AB14" s="18">
        <f t="shared" si="14"/>
        <v>2</v>
      </c>
      <c r="AC14" s="18">
        <f t="shared" si="14"/>
        <v>0</v>
      </c>
      <c r="AD14" s="18">
        <f t="shared" si="14"/>
        <v>0</v>
      </c>
      <c r="AE14" s="18">
        <f t="shared" si="14"/>
        <v>1</v>
      </c>
    </row>
    <row r="15" ht="18.0" customHeight="1">
      <c r="A15" s="11" t="s">
        <v>84</v>
      </c>
      <c r="B15" s="12"/>
      <c r="C15" s="12"/>
      <c r="D15" s="23"/>
      <c r="E15" s="12"/>
      <c r="F15" s="12"/>
      <c r="G15" s="12"/>
      <c r="H15" s="12"/>
      <c r="I15" s="12"/>
      <c r="J15" s="12"/>
      <c r="K15" s="12"/>
      <c r="L15" s="12"/>
      <c r="M15" s="12"/>
      <c r="N15" s="12"/>
      <c r="O15" s="12"/>
      <c r="P15" s="12"/>
      <c r="Q15" s="12"/>
      <c r="R15" s="12"/>
      <c r="S15" s="23"/>
      <c r="T15" s="12"/>
      <c r="U15" s="12"/>
      <c r="V15" s="12"/>
      <c r="W15" s="12"/>
      <c r="X15" s="12"/>
      <c r="Y15" s="12"/>
      <c r="Z15" s="12"/>
      <c r="AA15" s="12"/>
      <c r="AB15" s="12"/>
      <c r="AC15" s="12"/>
      <c r="AD15" s="12"/>
      <c r="AE15" s="12"/>
      <c r="AF15" s="12"/>
      <c r="AG15" s="12"/>
      <c r="AH15" s="12"/>
      <c r="AI15" s="12"/>
    </row>
    <row r="16">
      <c r="A16" s="1" t="s">
        <v>85</v>
      </c>
      <c r="B16" s="20" t="s">
        <v>86</v>
      </c>
      <c r="C16" s="16">
        <v>4.0</v>
      </c>
      <c r="D16" s="15">
        <f t="shared" ref="D16:D25" si="16">AVERAGE(E16, L16)
</f>
        <v>3.1</v>
      </c>
      <c r="E16" s="16">
        <f t="shared" ref="E16:E25" si="17">AVERAGE(F16, G16, H16, I16, J16)</f>
        <v>3</v>
      </c>
      <c r="F16" s="16">
        <v>2.0</v>
      </c>
      <c r="G16" s="16">
        <v>4.0</v>
      </c>
      <c r="H16" s="16">
        <v>4.0</v>
      </c>
      <c r="I16" s="16">
        <v>1.0</v>
      </c>
      <c r="J16" s="16">
        <v>4.0</v>
      </c>
      <c r="K16" s="19" t="s">
        <v>87</v>
      </c>
      <c r="L16" s="16">
        <f t="shared" ref="L16:L25" si="18">AVERAGE(M16, N16, O16, P16, Q16)</f>
        <v>3.2</v>
      </c>
      <c r="M16" s="16">
        <v>4.0</v>
      </c>
      <c r="N16" s="16">
        <v>3.0</v>
      </c>
      <c r="O16" s="16">
        <v>4.0</v>
      </c>
      <c r="P16" s="16">
        <v>1.0</v>
      </c>
      <c r="Q16" s="16">
        <v>4.0</v>
      </c>
      <c r="R16" s="1" t="s">
        <v>88</v>
      </c>
      <c r="S16" s="15">
        <f t="shared" ref="S16:S25" si="19">AVERAGE(T16, V16)
</f>
        <v>4</v>
      </c>
      <c r="T16" s="16">
        <v>4.0</v>
      </c>
      <c r="V16" s="16">
        <v>4.0</v>
      </c>
      <c r="X16" s="20" t="s">
        <v>89</v>
      </c>
      <c r="AA16" s="18">
        <f t="shared" ref="AA16:AE16" si="15">ABS(F16-M16)</f>
        <v>2</v>
      </c>
      <c r="AB16" s="18">
        <f t="shared" si="15"/>
        <v>1</v>
      </c>
      <c r="AC16" s="18">
        <f t="shared" si="15"/>
        <v>0</v>
      </c>
      <c r="AD16" s="18">
        <f t="shared" si="15"/>
        <v>0</v>
      </c>
      <c r="AE16" s="18">
        <f t="shared" si="15"/>
        <v>0</v>
      </c>
    </row>
    <row r="17">
      <c r="A17" s="1" t="s">
        <v>90</v>
      </c>
      <c r="B17" s="20" t="s">
        <v>91</v>
      </c>
      <c r="C17" s="16">
        <v>5.0</v>
      </c>
      <c r="D17" s="15">
        <f t="shared" si="16"/>
        <v>2.8</v>
      </c>
      <c r="E17" s="16">
        <f t="shared" si="17"/>
        <v>2.8</v>
      </c>
      <c r="F17" s="16">
        <v>3.0</v>
      </c>
      <c r="G17" s="16">
        <v>3.0</v>
      </c>
      <c r="H17" s="16">
        <v>3.0</v>
      </c>
      <c r="I17" s="16">
        <v>1.0</v>
      </c>
      <c r="J17" s="16">
        <v>4.0</v>
      </c>
      <c r="K17" s="1" t="s">
        <v>92</v>
      </c>
      <c r="L17" s="16">
        <f t="shared" si="18"/>
        <v>2.8</v>
      </c>
      <c r="M17" s="16">
        <v>3.0</v>
      </c>
      <c r="N17" s="16">
        <v>2.0</v>
      </c>
      <c r="O17" s="16">
        <v>4.0</v>
      </c>
      <c r="P17" s="16">
        <v>1.0</v>
      </c>
      <c r="Q17" s="16">
        <v>4.0</v>
      </c>
      <c r="R17" s="1" t="s">
        <v>93</v>
      </c>
      <c r="S17" s="15">
        <f t="shared" si="19"/>
        <v>3</v>
      </c>
      <c r="T17" s="16">
        <v>3.0</v>
      </c>
      <c r="U17" s="1" t="s">
        <v>94</v>
      </c>
      <c r="V17" s="16">
        <v>3.0</v>
      </c>
      <c r="W17" s="1" t="s">
        <v>95</v>
      </c>
      <c r="X17" s="20" t="s">
        <v>96</v>
      </c>
      <c r="AA17" s="18">
        <f t="shared" ref="AA17:AE17" si="20">ABS(F17-M17)</f>
        <v>0</v>
      </c>
      <c r="AB17" s="18">
        <f t="shared" si="20"/>
        <v>1</v>
      </c>
      <c r="AC17" s="18">
        <f t="shared" si="20"/>
        <v>1</v>
      </c>
      <c r="AD17" s="18">
        <f t="shared" si="20"/>
        <v>0</v>
      </c>
      <c r="AE17" s="18">
        <f t="shared" si="20"/>
        <v>0</v>
      </c>
    </row>
    <row r="18">
      <c r="A18" s="1" t="s">
        <v>97</v>
      </c>
      <c r="B18" s="20" t="s">
        <v>98</v>
      </c>
      <c r="C18" s="16">
        <v>1.0</v>
      </c>
      <c r="D18" s="15">
        <f t="shared" si="16"/>
        <v>3.1</v>
      </c>
      <c r="E18" s="16">
        <f t="shared" si="17"/>
        <v>3</v>
      </c>
      <c r="F18" s="16">
        <v>3.0</v>
      </c>
      <c r="G18" s="16">
        <v>4.0</v>
      </c>
      <c r="H18" s="16">
        <v>3.0</v>
      </c>
      <c r="I18" s="16">
        <v>1.0</v>
      </c>
      <c r="J18" s="16">
        <v>4.0</v>
      </c>
      <c r="K18" s="19" t="s">
        <v>99</v>
      </c>
      <c r="L18" s="16">
        <f t="shared" si="18"/>
        <v>3.2</v>
      </c>
      <c r="M18" s="16">
        <v>4.0</v>
      </c>
      <c r="N18" s="16">
        <v>3.0</v>
      </c>
      <c r="O18" s="16">
        <v>4.0</v>
      </c>
      <c r="P18" s="16">
        <v>1.0</v>
      </c>
      <c r="Q18" s="16">
        <v>4.0</v>
      </c>
      <c r="R18" s="1" t="s">
        <v>100</v>
      </c>
      <c r="S18" s="15">
        <f t="shared" si="19"/>
        <v>4</v>
      </c>
      <c r="T18" s="16">
        <v>4.0</v>
      </c>
      <c r="V18" s="16">
        <v>4.0</v>
      </c>
      <c r="X18" s="20" t="s">
        <v>101</v>
      </c>
      <c r="AA18" s="18">
        <f t="shared" ref="AA18:AE18" si="21">ABS(F18-M18)</f>
        <v>1</v>
      </c>
      <c r="AB18" s="18">
        <f t="shared" si="21"/>
        <v>1</v>
      </c>
      <c r="AC18" s="18">
        <f t="shared" si="21"/>
        <v>1</v>
      </c>
      <c r="AD18" s="18">
        <f t="shared" si="21"/>
        <v>0</v>
      </c>
      <c r="AE18" s="18">
        <f t="shared" si="21"/>
        <v>0</v>
      </c>
    </row>
    <row r="19">
      <c r="A19" s="1" t="s">
        <v>102</v>
      </c>
      <c r="B19" s="20" t="s">
        <v>103</v>
      </c>
      <c r="C19" s="16">
        <v>1.0</v>
      </c>
      <c r="D19" s="15">
        <f t="shared" si="16"/>
        <v>3.1</v>
      </c>
      <c r="E19" s="16">
        <f t="shared" si="17"/>
        <v>3.2</v>
      </c>
      <c r="F19" s="16">
        <v>3.0</v>
      </c>
      <c r="G19" s="16">
        <v>4.0</v>
      </c>
      <c r="H19" s="16">
        <v>4.0</v>
      </c>
      <c r="I19" s="16">
        <v>1.0</v>
      </c>
      <c r="J19" s="16">
        <v>4.0</v>
      </c>
      <c r="K19" s="1" t="s">
        <v>104</v>
      </c>
      <c r="L19" s="16">
        <f t="shared" si="18"/>
        <v>3</v>
      </c>
      <c r="M19" s="16">
        <v>3.0</v>
      </c>
      <c r="N19" s="16">
        <v>3.0</v>
      </c>
      <c r="O19" s="16">
        <v>4.0</v>
      </c>
      <c r="P19" s="16">
        <v>1.0</v>
      </c>
      <c r="Q19" s="16">
        <v>4.0</v>
      </c>
      <c r="R19" s="1" t="s">
        <v>105</v>
      </c>
      <c r="S19" s="15">
        <f t="shared" si="19"/>
        <v>4</v>
      </c>
      <c r="T19" s="16">
        <v>4.0</v>
      </c>
      <c r="V19" s="16">
        <v>4.0</v>
      </c>
      <c r="X19" s="20" t="s">
        <v>106</v>
      </c>
      <c r="AA19" s="18">
        <f t="shared" ref="AA19:AE19" si="22">ABS(F19-M19)</f>
        <v>0</v>
      </c>
      <c r="AB19" s="18">
        <f t="shared" si="22"/>
        <v>1</v>
      </c>
      <c r="AC19" s="18">
        <f t="shared" si="22"/>
        <v>0</v>
      </c>
      <c r="AD19" s="18">
        <f t="shared" si="22"/>
        <v>0</v>
      </c>
      <c r="AE19" s="18">
        <f t="shared" si="22"/>
        <v>0</v>
      </c>
    </row>
    <row r="20">
      <c r="A20" s="1" t="s">
        <v>107</v>
      </c>
      <c r="B20" s="20" t="s">
        <v>108</v>
      </c>
      <c r="C20" s="16">
        <v>1.0</v>
      </c>
      <c r="D20" s="15">
        <f t="shared" si="16"/>
        <v>2.8</v>
      </c>
      <c r="E20" s="16">
        <f t="shared" si="17"/>
        <v>2.6</v>
      </c>
      <c r="F20" s="16">
        <v>3.0</v>
      </c>
      <c r="G20" s="16">
        <v>2.0</v>
      </c>
      <c r="H20" s="16">
        <v>4.0</v>
      </c>
      <c r="I20" s="16">
        <v>1.0</v>
      </c>
      <c r="J20" s="16">
        <v>3.0</v>
      </c>
      <c r="K20" s="1" t="s">
        <v>109</v>
      </c>
      <c r="L20" s="16">
        <f t="shared" si="18"/>
        <v>3</v>
      </c>
      <c r="M20" s="16">
        <v>3.0</v>
      </c>
      <c r="N20" s="16">
        <v>3.0</v>
      </c>
      <c r="O20" s="16">
        <v>4.0</v>
      </c>
      <c r="P20" s="16">
        <v>1.0</v>
      </c>
      <c r="Q20" s="16">
        <v>4.0</v>
      </c>
      <c r="R20" s="1" t="s">
        <v>110</v>
      </c>
      <c r="S20" s="15">
        <f t="shared" si="19"/>
        <v>4</v>
      </c>
      <c r="T20" s="16">
        <v>4.0</v>
      </c>
      <c r="V20" s="16">
        <v>4.0</v>
      </c>
      <c r="X20" s="20" t="s">
        <v>111</v>
      </c>
      <c r="AA20" s="18">
        <f t="shared" ref="AA20:AE20" si="23">ABS(F20-M20)</f>
        <v>0</v>
      </c>
      <c r="AB20" s="18">
        <f t="shared" si="23"/>
        <v>1</v>
      </c>
      <c r="AC20" s="18">
        <f t="shared" si="23"/>
        <v>0</v>
      </c>
      <c r="AD20" s="18">
        <f t="shared" si="23"/>
        <v>0</v>
      </c>
      <c r="AE20" s="18">
        <f t="shared" si="23"/>
        <v>1</v>
      </c>
    </row>
    <row r="21">
      <c r="A21" s="1" t="s">
        <v>112</v>
      </c>
      <c r="B21" s="20" t="s">
        <v>113</v>
      </c>
      <c r="C21" s="16">
        <v>1.0</v>
      </c>
      <c r="D21" s="15">
        <f t="shared" si="16"/>
        <v>2.9</v>
      </c>
      <c r="E21" s="16">
        <f t="shared" si="17"/>
        <v>3</v>
      </c>
      <c r="F21" s="16">
        <v>4.0</v>
      </c>
      <c r="G21" s="16">
        <v>4.0</v>
      </c>
      <c r="H21" s="16">
        <v>3.0</v>
      </c>
      <c r="I21" s="16">
        <v>1.0</v>
      </c>
      <c r="J21" s="16">
        <v>3.0</v>
      </c>
      <c r="K21" s="1" t="s">
        <v>114</v>
      </c>
      <c r="L21" s="16">
        <f t="shared" si="18"/>
        <v>2.8</v>
      </c>
      <c r="M21" s="16">
        <v>4.0</v>
      </c>
      <c r="N21" s="16">
        <v>2.0</v>
      </c>
      <c r="O21" s="16">
        <v>3.0</v>
      </c>
      <c r="P21" s="16">
        <v>1.0</v>
      </c>
      <c r="Q21" s="16">
        <v>4.0</v>
      </c>
      <c r="R21" s="1" t="s">
        <v>115</v>
      </c>
      <c r="S21" s="15">
        <f t="shared" si="19"/>
        <v>4</v>
      </c>
      <c r="T21" s="16">
        <v>4.0</v>
      </c>
      <c r="V21" s="16">
        <v>4.0</v>
      </c>
      <c r="X21" s="20" t="s">
        <v>116</v>
      </c>
      <c r="AA21" s="18">
        <f t="shared" ref="AA21:AE21" si="24">ABS(F21-M21)</f>
        <v>0</v>
      </c>
      <c r="AB21" s="18">
        <f t="shared" si="24"/>
        <v>2</v>
      </c>
      <c r="AC21" s="18">
        <f t="shared" si="24"/>
        <v>0</v>
      </c>
      <c r="AD21" s="18">
        <f t="shared" si="24"/>
        <v>0</v>
      </c>
      <c r="AE21" s="18">
        <f t="shared" si="24"/>
        <v>1</v>
      </c>
    </row>
    <row r="22">
      <c r="A22" s="1" t="s">
        <v>117</v>
      </c>
      <c r="B22" s="20" t="s">
        <v>118</v>
      </c>
      <c r="C22" s="16">
        <v>1.0</v>
      </c>
      <c r="D22" s="15">
        <f t="shared" si="16"/>
        <v>3.2</v>
      </c>
      <c r="E22" s="16">
        <f t="shared" si="17"/>
        <v>3.2</v>
      </c>
      <c r="F22" s="16">
        <v>3.0</v>
      </c>
      <c r="G22" s="16">
        <v>4.0</v>
      </c>
      <c r="H22" s="16">
        <v>4.0</v>
      </c>
      <c r="I22" s="16">
        <v>2.0</v>
      </c>
      <c r="J22" s="16">
        <v>3.0</v>
      </c>
      <c r="K22" s="1" t="s">
        <v>119</v>
      </c>
      <c r="L22" s="16">
        <f t="shared" si="18"/>
        <v>3.2</v>
      </c>
      <c r="M22" s="16">
        <v>4.0</v>
      </c>
      <c r="N22" s="16">
        <v>2.0</v>
      </c>
      <c r="O22" s="16">
        <v>4.0</v>
      </c>
      <c r="P22" s="16">
        <v>2.0</v>
      </c>
      <c r="Q22" s="16">
        <v>4.0</v>
      </c>
      <c r="R22" s="1" t="s">
        <v>88</v>
      </c>
      <c r="S22" s="15">
        <f t="shared" si="19"/>
        <v>4</v>
      </c>
      <c r="T22" s="16">
        <v>4.0</v>
      </c>
      <c r="V22" s="16">
        <v>4.0</v>
      </c>
      <c r="X22" s="20" t="s">
        <v>120</v>
      </c>
      <c r="AA22" s="18">
        <f t="shared" ref="AA22:AE22" si="25">ABS(F22-M22)</f>
        <v>1</v>
      </c>
      <c r="AB22" s="18">
        <f t="shared" si="25"/>
        <v>2</v>
      </c>
      <c r="AC22" s="18">
        <f t="shared" si="25"/>
        <v>0</v>
      </c>
      <c r="AD22" s="18">
        <f t="shared" si="25"/>
        <v>0</v>
      </c>
      <c r="AE22" s="18">
        <f t="shared" si="25"/>
        <v>1</v>
      </c>
    </row>
    <row r="23">
      <c r="A23" s="1" t="s">
        <v>121</v>
      </c>
      <c r="B23" s="20" t="s">
        <v>122</v>
      </c>
      <c r="C23" s="16">
        <v>1.0</v>
      </c>
      <c r="D23" s="15">
        <f t="shared" si="16"/>
        <v>2.8</v>
      </c>
      <c r="E23" s="16">
        <f t="shared" si="17"/>
        <v>2.6</v>
      </c>
      <c r="F23" s="16">
        <v>3.0</v>
      </c>
      <c r="G23" s="16">
        <v>3.0</v>
      </c>
      <c r="H23" s="16">
        <v>2.0</v>
      </c>
      <c r="I23" s="16">
        <v>2.0</v>
      </c>
      <c r="J23" s="16">
        <v>3.0</v>
      </c>
      <c r="K23" s="19" t="s">
        <v>123</v>
      </c>
      <c r="L23" s="16">
        <f t="shared" si="18"/>
        <v>3</v>
      </c>
      <c r="M23" s="16">
        <v>4.0</v>
      </c>
      <c r="N23" s="16">
        <v>2.0</v>
      </c>
      <c r="O23" s="16">
        <v>4.0</v>
      </c>
      <c r="P23" s="16">
        <v>1.0</v>
      </c>
      <c r="Q23" s="16">
        <v>4.0</v>
      </c>
      <c r="R23" s="1" t="s">
        <v>124</v>
      </c>
      <c r="S23" s="15">
        <f t="shared" si="19"/>
        <v>3.5</v>
      </c>
      <c r="T23" s="16">
        <v>3.0</v>
      </c>
      <c r="U23" s="1" t="s">
        <v>125</v>
      </c>
      <c r="V23" s="16">
        <v>4.0</v>
      </c>
      <c r="X23" s="20" t="s">
        <v>126</v>
      </c>
      <c r="AA23" s="18">
        <f t="shared" ref="AA23:AE23" si="26">ABS(F23-M23)</f>
        <v>1</v>
      </c>
      <c r="AB23" s="18">
        <f t="shared" si="26"/>
        <v>1</v>
      </c>
      <c r="AC23" s="18">
        <f t="shared" si="26"/>
        <v>2</v>
      </c>
      <c r="AD23" s="18">
        <f t="shared" si="26"/>
        <v>1</v>
      </c>
      <c r="AE23" s="18">
        <f t="shared" si="26"/>
        <v>1</v>
      </c>
    </row>
    <row r="24">
      <c r="A24" s="1" t="s">
        <v>127</v>
      </c>
      <c r="B24" s="20" t="s">
        <v>128</v>
      </c>
      <c r="C24" s="16">
        <v>1.0</v>
      </c>
      <c r="D24" s="15">
        <f t="shared" si="16"/>
        <v>3</v>
      </c>
      <c r="E24" s="16">
        <f t="shared" si="17"/>
        <v>2.8</v>
      </c>
      <c r="F24" s="16">
        <v>3.0</v>
      </c>
      <c r="G24" s="16">
        <v>2.0</v>
      </c>
      <c r="H24" s="16">
        <v>3.0</v>
      </c>
      <c r="I24" s="16">
        <v>2.0</v>
      </c>
      <c r="J24" s="16">
        <v>4.0</v>
      </c>
      <c r="K24" s="1" t="s">
        <v>129</v>
      </c>
      <c r="L24" s="16">
        <f t="shared" si="18"/>
        <v>3.2</v>
      </c>
      <c r="M24" s="16">
        <v>4.0</v>
      </c>
      <c r="N24" s="16">
        <v>2.0</v>
      </c>
      <c r="O24" s="16">
        <v>4.0</v>
      </c>
      <c r="P24" s="16">
        <v>2.0</v>
      </c>
      <c r="Q24" s="16">
        <v>4.0</v>
      </c>
      <c r="R24" s="1" t="s">
        <v>88</v>
      </c>
      <c r="S24" s="15">
        <f t="shared" si="19"/>
        <v>3.5</v>
      </c>
      <c r="T24" s="16">
        <v>3.0</v>
      </c>
      <c r="U24" s="1" t="s">
        <v>130</v>
      </c>
      <c r="V24" s="16">
        <v>4.0</v>
      </c>
      <c r="X24" s="20" t="s">
        <v>131</v>
      </c>
      <c r="AA24" s="18">
        <f t="shared" ref="AA24:AE24" si="27">ABS(F24-M24)</f>
        <v>1</v>
      </c>
      <c r="AB24" s="18">
        <f t="shared" si="27"/>
        <v>0</v>
      </c>
      <c r="AC24" s="18">
        <f t="shared" si="27"/>
        <v>1</v>
      </c>
      <c r="AD24" s="18">
        <f t="shared" si="27"/>
        <v>0</v>
      </c>
      <c r="AE24" s="18">
        <f t="shared" si="27"/>
        <v>0</v>
      </c>
    </row>
    <row r="25">
      <c r="A25" s="1" t="s">
        <v>132</v>
      </c>
      <c r="B25" s="20" t="s">
        <v>133</v>
      </c>
      <c r="C25" s="16">
        <v>1.0</v>
      </c>
      <c r="D25" s="15">
        <f t="shared" si="16"/>
        <v>2.8</v>
      </c>
      <c r="E25" s="16">
        <f t="shared" si="17"/>
        <v>2.8</v>
      </c>
      <c r="F25" s="16">
        <v>3.0</v>
      </c>
      <c r="G25" s="16">
        <v>3.0</v>
      </c>
      <c r="H25" s="16">
        <v>3.0</v>
      </c>
      <c r="I25" s="16">
        <v>2.0</v>
      </c>
      <c r="J25" s="16">
        <v>3.0</v>
      </c>
      <c r="K25" s="1" t="s">
        <v>134</v>
      </c>
      <c r="L25" s="16">
        <f t="shared" si="18"/>
        <v>2.8</v>
      </c>
      <c r="M25" s="16">
        <v>3.0</v>
      </c>
      <c r="N25" s="16">
        <v>2.0</v>
      </c>
      <c r="O25" s="16">
        <v>4.0</v>
      </c>
      <c r="P25" s="16">
        <v>1.0</v>
      </c>
      <c r="Q25" s="16">
        <v>4.0</v>
      </c>
      <c r="R25" s="1" t="s">
        <v>135</v>
      </c>
      <c r="S25" s="15">
        <f t="shared" si="19"/>
        <v>3.5</v>
      </c>
      <c r="T25" s="16">
        <v>3.0</v>
      </c>
      <c r="U25" s="1" t="s">
        <v>136</v>
      </c>
      <c r="V25" s="16">
        <v>4.0</v>
      </c>
      <c r="X25" s="20" t="s">
        <v>137</v>
      </c>
      <c r="AA25" s="18">
        <f t="shared" ref="AA25:AE25" si="28">ABS(F25-M25)</f>
        <v>0</v>
      </c>
      <c r="AB25" s="18">
        <f t="shared" si="28"/>
        <v>1</v>
      </c>
      <c r="AC25" s="18">
        <f t="shared" si="28"/>
        <v>1</v>
      </c>
      <c r="AD25" s="18">
        <f t="shared" si="28"/>
        <v>1</v>
      </c>
      <c r="AE25" s="18">
        <f t="shared" si="28"/>
        <v>1</v>
      </c>
    </row>
    <row r="26">
      <c r="A26" s="11" t="s">
        <v>138</v>
      </c>
      <c r="B26" s="24"/>
      <c r="C26" s="24"/>
      <c r="D26" s="24"/>
      <c r="E26" s="24"/>
      <c r="F26" s="24"/>
      <c r="G26" s="24"/>
      <c r="H26" s="24"/>
      <c r="I26" s="24"/>
      <c r="J26" s="24"/>
      <c r="K26" s="24"/>
      <c r="L26" s="25"/>
      <c r="M26" s="25"/>
      <c r="N26" s="25"/>
      <c r="O26" s="25"/>
      <c r="P26" s="25"/>
      <c r="Q26" s="25"/>
      <c r="R26" s="24"/>
      <c r="S26" s="24"/>
      <c r="T26" s="24"/>
      <c r="U26" s="24"/>
      <c r="V26" s="25"/>
      <c r="W26" s="24"/>
      <c r="X26" s="24"/>
      <c r="Y26" s="24"/>
      <c r="Z26" s="24"/>
      <c r="AA26" s="24"/>
      <c r="AB26" s="24"/>
      <c r="AC26" s="24"/>
      <c r="AD26" s="24"/>
      <c r="AE26" s="24"/>
      <c r="AF26" s="24"/>
      <c r="AG26" s="24"/>
      <c r="AH26" s="24"/>
      <c r="AI26" s="24"/>
    </row>
    <row r="27">
      <c r="A27" s="1" t="s">
        <v>139</v>
      </c>
      <c r="B27" s="20" t="s">
        <v>140</v>
      </c>
      <c r="C27" s="16">
        <v>3.0</v>
      </c>
      <c r="D27" s="15">
        <f t="shared" ref="D27:D36" si="30">AVERAGE(E27, L27)
</f>
        <v>3.2</v>
      </c>
      <c r="E27" s="16">
        <f t="shared" ref="E27:E36" si="31">AVERAGE(F27, G27, H27, I27, J27)</f>
        <v>3.2</v>
      </c>
      <c r="F27" s="16">
        <v>4.0</v>
      </c>
      <c r="G27" s="16">
        <v>3.0</v>
      </c>
      <c r="H27" s="16">
        <v>3.0</v>
      </c>
      <c r="I27" s="16">
        <v>2.0</v>
      </c>
      <c r="J27" s="16">
        <v>4.0</v>
      </c>
      <c r="K27" s="1" t="s">
        <v>141</v>
      </c>
      <c r="L27" s="16">
        <f t="shared" ref="L27:L36" si="32">AVERAGE(M27, N27, O27, P27, Q27)</f>
        <v>3.2</v>
      </c>
      <c r="M27" s="16">
        <v>4.0</v>
      </c>
      <c r="N27" s="16">
        <v>3.0</v>
      </c>
      <c r="O27" s="16">
        <v>3.0</v>
      </c>
      <c r="P27" s="16">
        <v>2.0</v>
      </c>
      <c r="Q27" s="16">
        <v>4.0</v>
      </c>
      <c r="R27" s="1" t="s">
        <v>142</v>
      </c>
      <c r="S27" s="26">
        <f t="shared" ref="S27:S36" si="33">AVERAGE(T27, V27)
</f>
        <v>4</v>
      </c>
      <c r="T27" s="16">
        <v>4.0</v>
      </c>
      <c r="V27" s="16">
        <v>4.0</v>
      </c>
      <c r="X27" s="20" t="s">
        <v>143</v>
      </c>
      <c r="AA27" s="18">
        <f t="shared" ref="AA27:AE27" si="29">ABS(F27-M27)</f>
        <v>0</v>
      </c>
      <c r="AB27" s="18">
        <f t="shared" si="29"/>
        <v>0</v>
      </c>
      <c r="AC27" s="18">
        <f t="shared" si="29"/>
        <v>0</v>
      </c>
      <c r="AD27" s="18">
        <f t="shared" si="29"/>
        <v>0</v>
      </c>
      <c r="AE27" s="18">
        <f t="shared" si="29"/>
        <v>0</v>
      </c>
    </row>
    <row r="28">
      <c r="A28" s="1" t="s">
        <v>144</v>
      </c>
      <c r="B28" s="20" t="s">
        <v>145</v>
      </c>
      <c r="C28" s="16">
        <v>1.0</v>
      </c>
      <c r="D28" s="15">
        <f t="shared" si="30"/>
        <v>2.8</v>
      </c>
      <c r="E28" s="16">
        <f t="shared" si="31"/>
        <v>2.6</v>
      </c>
      <c r="F28" s="16">
        <v>3.0</v>
      </c>
      <c r="G28" s="16">
        <v>3.0</v>
      </c>
      <c r="H28" s="16">
        <v>3.0</v>
      </c>
      <c r="I28" s="16">
        <v>1.0</v>
      </c>
      <c r="J28" s="16">
        <v>3.0</v>
      </c>
      <c r="K28" s="1" t="s">
        <v>146</v>
      </c>
      <c r="L28" s="16">
        <f t="shared" si="32"/>
        <v>3</v>
      </c>
      <c r="M28" s="16">
        <v>3.0</v>
      </c>
      <c r="N28" s="16">
        <v>3.0</v>
      </c>
      <c r="O28" s="16">
        <v>4.0</v>
      </c>
      <c r="P28" s="16">
        <v>1.0</v>
      </c>
      <c r="Q28" s="16">
        <v>4.0</v>
      </c>
      <c r="R28" s="1" t="s">
        <v>147</v>
      </c>
      <c r="S28" s="26">
        <f t="shared" si="33"/>
        <v>3.5</v>
      </c>
      <c r="T28" s="16">
        <v>3.0</v>
      </c>
      <c r="U28" s="1" t="s">
        <v>148</v>
      </c>
      <c r="V28" s="27">
        <v>4.0</v>
      </c>
      <c r="W28" s="28"/>
      <c r="X28" s="20" t="s">
        <v>149</v>
      </c>
      <c r="AA28" s="18">
        <f t="shared" ref="AA28:AE28" si="34">ABS(F28-M28)</f>
        <v>0</v>
      </c>
      <c r="AB28" s="18">
        <f t="shared" si="34"/>
        <v>0</v>
      </c>
      <c r="AC28" s="18">
        <f t="shared" si="34"/>
        <v>1</v>
      </c>
      <c r="AD28" s="18">
        <f t="shared" si="34"/>
        <v>0</v>
      </c>
      <c r="AE28" s="18">
        <f t="shared" si="34"/>
        <v>1</v>
      </c>
    </row>
    <row r="29">
      <c r="A29" s="1" t="s">
        <v>150</v>
      </c>
      <c r="B29" s="20" t="s">
        <v>151</v>
      </c>
      <c r="C29" s="16">
        <v>1.0</v>
      </c>
      <c r="D29" s="15">
        <f t="shared" si="30"/>
        <v>3</v>
      </c>
      <c r="E29" s="16">
        <f t="shared" si="31"/>
        <v>3.2</v>
      </c>
      <c r="F29" s="16">
        <v>3.0</v>
      </c>
      <c r="G29" s="16">
        <v>4.0</v>
      </c>
      <c r="H29" s="16">
        <v>3.0</v>
      </c>
      <c r="I29" s="16">
        <v>2.0</v>
      </c>
      <c r="J29" s="16">
        <v>4.0</v>
      </c>
      <c r="K29" s="1" t="s">
        <v>152</v>
      </c>
      <c r="L29" s="16">
        <f t="shared" si="32"/>
        <v>2.8</v>
      </c>
      <c r="M29" s="16">
        <v>3.0</v>
      </c>
      <c r="N29" s="16">
        <v>3.0</v>
      </c>
      <c r="O29" s="16">
        <v>4.0</v>
      </c>
      <c r="P29" s="16">
        <v>1.0</v>
      </c>
      <c r="Q29" s="16">
        <v>3.0</v>
      </c>
      <c r="R29" s="1" t="s">
        <v>153</v>
      </c>
      <c r="S29" s="26">
        <f t="shared" si="33"/>
        <v>4</v>
      </c>
      <c r="T29" s="16">
        <v>4.0</v>
      </c>
      <c r="V29" s="16">
        <v>4.0</v>
      </c>
      <c r="W29" s="28"/>
      <c r="X29" s="20" t="s">
        <v>154</v>
      </c>
      <c r="AA29" s="18">
        <f t="shared" ref="AA29:AE29" si="35">ABS(F29-M29)</f>
        <v>0</v>
      </c>
      <c r="AB29" s="18">
        <f t="shared" si="35"/>
        <v>1</v>
      </c>
      <c r="AC29" s="18">
        <f t="shared" si="35"/>
        <v>1</v>
      </c>
      <c r="AD29" s="18">
        <f t="shared" si="35"/>
        <v>1</v>
      </c>
      <c r="AE29" s="18">
        <f t="shared" si="35"/>
        <v>1</v>
      </c>
    </row>
    <row r="30">
      <c r="A30" s="1" t="s">
        <v>155</v>
      </c>
      <c r="B30" s="20" t="s">
        <v>156</v>
      </c>
      <c r="C30" s="16">
        <v>5.0</v>
      </c>
      <c r="D30" s="15">
        <f t="shared" si="30"/>
        <v>2.9</v>
      </c>
      <c r="E30" s="16">
        <f t="shared" si="31"/>
        <v>2.8</v>
      </c>
      <c r="F30" s="16">
        <v>4.0</v>
      </c>
      <c r="G30" s="16">
        <v>3.0</v>
      </c>
      <c r="H30" s="16">
        <v>2.0</v>
      </c>
      <c r="I30" s="16">
        <v>1.0</v>
      </c>
      <c r="J30" s="16">
        <v>4.0</v>
      </c>
      <c r="K30" s="1" t="s">
        <v>157</v>
      </c>
      <c r="L30" s="16">
        <f t="shared" si="32"/>
        <v>3</v>
      </c>
      <c r="M30" s="16">
        <v>4.0</v>
      </c>
      <c r="N30" s="16">
        <v>2.0</v>
      </c>
      <c r="O30" s="16">
        <v>4.0</v>
      </c>
      <c r="P30" s="16">
        <v>1.0</v>
      </c>
      <c r="Q30" s="16">
        <v>4.0</v>
      </c>
      <c r="R30" s="1" t="s">
        <v>158</v>
      </c>
      <c r="S30" s="15">
        <f t="shared" si="33"/>
        <v>3.5</v>
      </c>
      <c r="T30" s="16">
        <v>3.0</v>
      </c>
      <c r="U30" s="1" t="s">
        <v>159</v>
      </c>
      <c r="V30" s="16">
        <v>4.0</v>
      </c>
      <c r="W30" s="28"/>
      <c r="X30" s="20" t="s">
        <v>160</v>
      </c>
      <c r="AA30" s="18">
        <f t="shared" ref="AA30:AE30" si="36">ABS(F30-M30)</f>
        <v>0</v>
      </c>
      <c r="AB30" s="18">
        <f t="shared" si="36"/>
        <v>1</v>
      </c>
      <c r="AC30" s="18">
        <f t="shared" si="36"/>
        <v>2</v>
      </c>
      <c r="AD30" s="18">
        <f t="shared" si="36"/>
        <v>0</v>
      </c>
      <c r="AE30" s="18">
        <f t="shared" si="36"/>
        <v>0</v>
      </c>
    </row>
    <row r="31">
      <c r="A31" s="1" t="s">
        <v>161</v>
      </c>
      <c r="B31" s="20" t="s">
        <v>162</v>
      </c>
      <c r="C31" s="16">
        <v>1.0</v>
      </c>
      <c r="D31" s="15">
        <f t="shared" si="30"/>
        <v>3.4</v>
      </c>
      <c r="E31" s="16">
        <f t="shared" si="31"/>
        <v>3.6</v>
      </c>
      <c r="F31" s="16">
        <v>4.0</v>
      </c>
      <c r="G31" s="16">
        <v>3.0</v>
      </c>
      <c r="H31" s="16">
        <v>4.0</v>
      </c>
      <c r="I31" s="16">
        <v>3.0</v>
      </c>
      <c r="J31" s="16">
        <v>4.0</v>
      </c>
      <c r="K31" s="29" t="s">
        <v>163</v>
      </c>
      <c r="L31" s="16">
        <f t="shared" si="32"/>
        <v>3.2</v>
      </c>
      <c r="M31" s="16">
        <v>4.0</v>
      </c>
      <c r="N31" s="16">
        <v>2.0</v>
      </c>
      <c r="O31" s="16">
        <v>4.0</v>
      </c>
      <c r="P31" s="16">
        <v>2.0</v>
      </c>
      <c r="Q31" s="16">
        <v>4.0</v>
      </c>
      <c r="R31" s="1" t="s">
        <v>164</v>
      </c>
      <c r="S31" s="15">
        <f t="shared" si="33"/>
        <v>4</v>
      </c>
      <c r="T31" s="16">
        <v>4.0</v>
      </c>
      <c r="V31" s="16">
        <v>4.0</v>
      </c>
      <c r="W31" s="28"/>
      <c r="X31" s="20" t="s">
        <v>165</v>
      </c>
      <c r="AA31" s="18">
        <f t="shared" ref="AA31:AE31" si="37">ABS(F31-M31)</f>
        <v>0</v>
      </c>
      <c r="AB31" s="18">
        <f t="shared" si="37"/>
        <v>1</v>
      </c>
      <c r="AC31" s="18">
        <f t="shared" si="37"/>
        <v>0</v>
      </c>
      <c r="AD31" s="18">
        <f t="shared" si="37"/>
        <v>1</v>
      </c>
      <c r="AE31" s="18">
        <f t="shared" si="37"/>
        <v>0</v>
      </c>
    </row>
    <row r="32">
      <c r="A32" s="1" t="s">
        <v>166</v>
      </c>
      <c r="B32" s="20" t="s">
        <v>167</v>
      </c>
      <c r="C32" s="16">
        <v>5.0</v>
      </c>
      <c r="D32" s="15">
        <f t="shared" si="30"/>
        <v>2.6</v>
      </c>
      <c r="E32" s="16">
        <f t="shared" si="31"/>
        <v>2.6</v>
      </c>
      <c r="F32" s="16">
        <v>3.0</v>
      </c>
      <c r="G32" s="16">
        <v>3.0</v>
      </c>
      <c r="H32" s="16">
        <v>3.0</v>
      </c>
      <c r="I32" s="16">
        <v>1.0</v>
      </c>
      <c r="J32" s="16">
        <v>3.0</v>
      </c>
      <c r="K32" s="1" t="s">
        <v>168</v>
      </c>
      <c r="L32" s="16">
        <f t="shared" si="32"/>
        <v>2.6</v>
      </c>
      <c r="M32" s="16">
        <v>3.0</v>
      </c>
      <c r="N32" s="16">
        <v>2.0</v>
      </c>
      <c r="O32" s="16">
        <v>4.0</v>
      </c>
      <c r="P32" s="16">
        <v>1.0</v>
      </c>
      <c r="Q32" s="16">
        <v>3.0</v>
      </c>
      <c r="R32" s="1" t="s">
        <v>169</v>
      </c>
      <c r="S32" s="15">
        <f t="shared" si="33"/>
        <v>4</v>
      </c>
      <c r="T32" s="16">
        <v>4.0</v>
      </c>
      <c r="V32" s="16">
        <v>4.0</v>
      </c>
      <c r="W32" s="28"/>
      <c r="X32" s="20" t="s">
        <v>170</v>
      </c>
      <c r="AA32" s="18">
        <f t="shared" ref="AA32:AE32" si="38">ABS(F32-M32)</f>
        <v>0</v>
      </c>
      <c r="AB32" s="18">
        <f t="shared" si="38"/>
        <v>1</v>
      </c>
      <c r="AC32" s="18">
        <f t="shared" si="38"/>
        <v>1</v>
      </c>
      <c r="AD32" s="18">
        <f t="shared" si="38"/>
        <v>0</v>
      </c>
      <c r="AE32" s="18">
        <f t="shared" si="38"/>
        <v>0</v>
      </c>
    </row>
    <row r="33">
      <c r="A33" s="1" t="s">
        <v>171</v>
      </c>
      <c r="B33" s="20" t="s">
        <v>172</v>
      </c>
      <c r="C33" s="16">
        <v>1.0</v>
      </c>
      <c r="D33" s="15">
        <f t="shared" si="30"/>
        <v>3.1</v>
      </c>
      <c r="E33" s="16">
        <f t="shared" si="31"/>
        <v>3.2</v>
      </c>
      <c r="F33" s="16">
        <v>4.0</v>
      </c>
      <c r="G33" s="16">
        <v>3.0</v>
      </c>
      <c r="H33" s="16">
        <v>3.0</v>
      </c>
      <c r="I33" s="16">
        <v>2.0</v>
      </c>
      <c r="J33" s="16">
        <v>4.0</v>
      </c>
      <c r="K33" s="1" t="s">
        <v>173</v>
      </c>
      <c r="L33" s="16">
        <f t="shared" si="32"/>
        <v>3</v>
      </c>
      <c r="M33" s="16">
        <v>3.0</v>
      </c>
      <c r="N33" s="16">
        <v>3.0</v>
      </c>
      <c r="O33" s="16">
        <v>4.0</v>
      </c>
      <c r="P33" s="16">
        <v>1.0</v>
      </c>
      <c r="Q33" s="16">
        <v>4.0</v>
      </c>
      <c r="R33" s="1" t="s">
        <v>174</v>
      </c>
      <c r="S33" s="15">
        <f t="shared" si="33"/>
        <v>4</v>
      </c>
      <c r="T33" s="16">
        <v>4.0</v>
      </c>
      <c r="V33" s="16">
        <v>4.0</v>
      </c>
      <c r="W33" s="28"/>
      <c r="X33" s="20" t="s">
        <v>175</v>
      </c>
      <c r="AA33" s="18">
        <f t="shared" ref="AA33:AE33" si="39">ABS(F33-M33)</f>
        <v>1</v>
      </c>
      <c r="AB33" s="18">
        <f t="shared" si="39"/>
        <v>0</v>
      </c>
      <c r="AC33" s="18">
        <f t="shared" si="39"/>
        <v>1</v>
      </c>
      <c r="AD33" s="18">
        <f t="shared" si="39"/>
        <v>1</v>
      </c>
      <c r="AE33" s="18">
        <f t="shared" si="39"/>
        <v>0</v>
      </c>
    </row>
    <row r="34">
      <c r="A34" s="1" t="s">
        <v>176</v>
      </c>
      <c r="B34" s="20" t="s">
        <v>177</v>
      </c>
      <c r="C34" s="16">
        <v>1.0</v>
      </c>
      <c r="D34" s="15">
        <f t="shared" si="30"/>
        <v>3.2</v>
      </c>
      <c r="E34" s="16">
        <f t="shared" si="31"/>
        <v>3.2</v>
      </c>
      <c r="F34" s="16">
        <v>4.0</v>
      </c>
      <c r="G34" s="16">
        <v>4.0</v>
      </c>
      <c r="H34" s="16">
        <v>3.0</v>
      </c>
      <c r="I34" s="16">
        <v>1.0</v>
      </c>
      <c r="J34" s="16">
        <v>4.0</v>
      </c>
      <c r="K34" s="1" t="s">
        <v>178</v>
      </c>
      <c r="L34" s="16">
        <f t="shared" si="32"/>
        <v>3.2</v>
      </c>
      <c r="M34" s="16">
        <v>4.0</v>
      </c>
      <c r="N34" s="16">
        <v>3.0</v>
      </c>
      <c r="O34" s="16">
        <v>4.0</v>
      </c>
      <c r="P34" s="16">
        <v>1.0</v>
      </c>
      <c r="Q34" s="16">
        <v>4.0</v>
      </c>
      <c r="R34" s="1" t="s">
        <v>179</v>
      </c>
      <c r="S34" s="15">
        <f t="shared" si="33"/>
        <v>4</v>
      </c>
      <c r="T34" s="16">
        <v>4.0</v>
      </c>
      <c r="V34" s="16">
        <v>4.0</v>
      </c>
      <c r="W34" s="28"/>
      <c r="X34" s="20" t="s">
        <v>180</v>
      </c>
      <c r="AA34" s="18">
        <f t="shared" ref="AA34:AE34" si="40">ABS(F34-M34)</f>
        <v>0</v>
      </c>
      <c r="AB34" s="18">
        <f t="shared" si="40"/>
        <v>1</v>
      </c>
      <c r="AC34" s="18">
        <f t="shared" si="40"/>
        <v>1</v>
      </c>
      <c r="AD34" s="18">
        <f t="shared" si="40"/>
        <v>0</v>
      </c>
      <c r="AE34" s="18">
        <f t="shared" si="40"/>
        <v>0</v>
      </c>
    </row>
    <row r="35">
      <c r="A35" s="1" t="s">
        <v>181</v>
      </c>
      <c r="B35" s="20" t="s">
        <v>182</v>
      </c>
      <c r="C35" s="16">
        <v>1.0</v>
      </c>
      <c r="D35" s="15">
        <f t="shared" si="30"/>
        <v>3.2</v>
      </c>
      <c r="E35" s="16">
        <f t="shared" si="31"/>
        <v>3.4</v>
      </c>
      <c r="F35" s="16">
        <v>4.0</v>
      </c>
      <c r="G35" s="16">
        <v>4.0</v>
      </c>
      <c r="H35" s="16">
        <v>4.0</v>
      </c>
      <c r="I35" s="16">
        <v>2.0</v>
      </c>
      <c r="J35" s="16">
        <v>3.0</v>
      </c>
      <c r="K35" s="1" t="s">
        <v>183</v>
      </c>
      <c r="L35" s="16">
        <f t="shared" si="32"/>
        <v>3</v>
      </c>
      <c r="M35" s="16">
        <v>4.0</v>
      </c>
      <c r="N35" s="16">
        <v>3.0</v>
      </c>
      <c r="O35" s="16">
        <v>2.0</v>
      </c>
      <c r="P35" s="16">
        <v>2.0</v>
      </c>
      <c r="Q35" s="16">
        <v>4.0</v>
      </c>
      <c r="R35" s="1" t="s">
        <v>184</v>
      </c>
      <c r="S35" s="15">
        <f t="shared" si="33"/>
        <v>3</v>
      </c>
      <c r="T35" s="16">
        <v>3.0</v>
      </c>
      <c r="U35" s="1" t="s">
        <v>185</v>
      </c>
      <c r="V35" s="16">
        <v>3.0</v>
      </c>
      <c r="W35" s="1" t="s">
        <v>186</v>
      </c>
      <c r="X35" s="20" t="s">
        <v>187</v>
      </c>
      <c r="AA35" s="18">
        <f t="shared" ref="AA35:AE35" si="41">ABS(F35-M35)</f>
        <v>0</v>
      </c>
      <c r="AB35" s="18">
        <f t="shared" si="41"/>
        <v>1</v>
      </c>
      <c r="AC35" s="18">
        <f t="shared" si="41"/>
        <v>2</v>
      </c>
      <c r="AD35" s="18">
        <f t="shared" si="41"/>
        <v>0</v>
      </c>
      <c r="AE35" s="18">
        <f t="shared" si="41"/>
        <v>1</v>
      </c>
    </row>
    <row r="36">
      <c r="A36" s="1" t="s">
        <v>188</v>
      </c>
      <c r="B36" s="20" t="s">
        <v>189</v>
      </c>
      <c r="C36" s="16">
        <v>1.0</v>
      </c>
      <c r="D36" s="15">
        <f t="shared" si="30"/>
        <v>3.2</v>
      </c>
      <c r="E36" s="16">
        <f t="shared" si="31"/>
        <v>3.4</v>
      </c>
      <c r="F36" s="16">
        <v>4.0</v>
      </c>
      <c r="G36" s="16">
        <v>3.0</v>
      </c>
      <c r="H36" s="16">
        <v>4.0</v>
      </c>
      <c r="I36" s="16">
        <v>2.0</v>
      </c>
      <c r="J36" s="16">
        <v>4.0</v>
      </c>
      <c r="K36" s="1" t="s">
        <v>190</v>
      </c>
      <c r="L36" s="16">
        <f t="shared" si="32"/>
        <v>3</v>
      </c>
      <c r="M36" s="16">
        <v>3.0</v>
      </c>
      <c r="N36" s="16">
        <v>3.0</v>
      </c>
      <c r="O36" s="16">
        <v>3.0</v>
      </c>
      <c r="P36" s="16">
        <v>2.0</v>
      </c>
      <c r="Q36" s="16">
        <v>4.0</v>
      </c>
      <c r="R36" s="1" t="s">
        <v>191</v>
      </c>
      <c r="S36" s="15">
        <f t="shared" si="33"/>
        <v>4</v>
      </c>
      <c r="T36" s="16">
        <v>4.0</v>
      </c>
      <c r="V36" s="16">
        <v>4.0</v>
      </c>
      <c r="W36" s="28"/>
      <c r="X36" s="20" t="s">
        <v>192</v>
      </c>
      <c r="AA36" s="18">
        <f t="shared" ref="AA36:AE36" si="42">ABS(F36-M36)</f>
        <v>1</v>
      </c>
      <c r="AB36" s="18">
        <f t="shared" si="42"/>
        <v>0</v>
      </c>
      <c r="AC36" s="18">
        <f t="shared" si="42"/>
        <v>1</v>
      </c>
      <c r="AD36" s="18">
        <f t="shared" si="42"/>
        <v>0</v>
      </c>
      <c r="AE36" s="18">
        <f t="shared" si="42"/>
        <v>0</v>
      </c>
    </row>
    <row r="37">
      <c r="A37" s="11" t="s">
        <v>193</v>
      </c>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row>
    <row r="38">
      <c r="A38" s="1" t="s">
        <v>194</v>
      </c>
      <c r="B38" s="20" t="s">
        <v>195</v>
      </c>
      <c r="C38" s="16">
        <v>4.0</v>
      </c>
      <c r="D38" s="26">
        <f t="shared" ref="D38:D47" si="44">AVERAGE(E38, L38)
</f>
        <v>3.4</v>
      </c>
      <c r="E38" s="18">
        <f t="shared" ref="E38:E47" si="45">AVERAGE(F38, G38, H38, I38, J38)</f>
        <v>3.4</v>
      </c>
      <c r="F38" s="16">
        <v>3.0</v>
      </c>
      <c r="G38" s="16">
        <v>3.0</v>
      </c>
      <c r="H38" s="16">
        <v>4.0</v>
      </c>
      <c r="I38" s="16">
        <v>4.0</v>
      </c>
      <c r="J38" s="16">
        <v>3.0</v>
      </c>
      <c r="K38" s="1" t="s">
        <v>196</v>
      </c>
      <c r="L38" s="18">
        <f t="shared" ref="L38:L47" si="46">AVERAGE(M38, N38, O38, P38, Q38)</f>
        <v>3.4</v>
      </c>
      <c r="M38" s="16">
        <v>4.0</v>
      </c>
      <c r="N38" s="16">
        <v>3.0</v>
      </c>
      <c r="O38" s="16">
        <v>4.0</v>
      </c>
      <c r="P38" s="16">
        <v>3.0</v>
      </c>
      <c r="Q38" s="16">
        <v>3.0</v>
      </c>
      <c r="R38" s="1" t="s">
        <v>197</v>
      </c>
      <c r="S38" s="18">
        <f t="shared" ref="S38:S47" si="47">AVERAGE(T38, V38)
</f>
        <v>4</v>
      </c>
      <c r="T38" s="16">
        <v>4.0</v>
      </c>
      <c r="U38" s="18"/>
      <c r="V38" s="16">
        <v>4.0</v>
      </c>
      <c r="W38" s="30"/>
      <c r="X38" s="20" t="s">
        <v>198</v>
      </c>
      <c r="AA38" s="18">
        <f t="shared" ref="AA38:AE38" si="43">ABS(F38-M38)</f>
        <v>1</v>
      </c>
      <c r="AB38" s="18">
        <f t="shared" si="43"/>
        <v>0</v>
      </c>
      <c r="AC38" s="18">
        <f t="shared" si="43"/>
        <v>0</v>
      </c>
      <c r="AD38" s="18">
        <f t="shared" si="43"/>
        <v>1</v>
      </c>
      <c r="AE38" s="18">
        <f t="shared" si="43"/>
        <v>0</v>
      </c>
    </row>
    <row r="39">
      <c r="A39" s="1" t="s">
        <v>199</v>
      </c>
      <c r="B39" s="20" t="s">
        <v>200</v>
      </c>
      <c r="C39" s="16">
        <v>2.0</v>
      </c>
      <c r="D39" s="26">
        <f t="shared" si="44"/>
        <v>3.5</v>
      </c>
      <c r="E39" s="18">
        <f t="shared" si="45"/>
        <v>3.6</v>
      </c>
      <c r="F39" s="16">
        <v>3.0</v>
      </c>
      <c r="G39" s="16">
        <v>4.0</v>
      </c>
      <c r="H39" s="16">
        <v>3.0</v>
      </c>
      <c r="I39" s="16">
        <v>4.0</v>
      </c>
      <c r="J39" s="16">
        <v>4.0</v>
      </c>
      <c r="K39" s="1" t="s">
        <v>201</v>
      </c>
      <c r="L39" s="18">
        <f t="shared" si="46"/>
        <v>3.4</v>
      </c>
      <c r="M39" s="16">
        <v>3.0</v>
      </c>
      <c r="N39" s="16">
        <v>3.0</v>
      </c>
      <c r="O39" s="16">
        <v>4.0</v>
      </c>
      <c r="P39" s="16">
        <v>3.0</v>
      </c>
      <c r="Q39" s="16">
        <v>4.0</v>
      </c>
      <c r="R39" s="1" t="s">
        <v>202</v>
      </c>
      <c r="S39" s="18">
        <f t="shared" si="47"/>
        <v>4</v>
      </c>
      <c r="T39" s="16">
        <v>4.0</v>
      </c>
      <c r="U39" s="18"/>
      <c r="V39" s="16">
        <v>4.0</v>
      </c>
      <c r="W39" s="30"/>
      <c r="X39" s="20" t="s">
        <v>203</v>
      </c>
      <c r="AA39" s="18">
        <f t="shared" ref="AA39:AE39" si="48">ABS(F39-M39)</f>
        <v>0</v>
      </c>
      <c r="AB39" s="18">
        <f t="shared" si="48"/>
        <v>1</v>
      </c>
      <c r="AC39" s="18">
        <f t="shared" si="48"/>
        <v>1</v>
      </c>
      <c r="AD39" s="18">
        <f t="shared" si="48"/>
        <v>1</v>
      </c>
      <c r="AE39" s="18">
        <f t="shared" si="48"/>
        <v>0</v>
      </c>
    </row>
    <row r="40">
      <c r="A40" s="1" t="s">
        <v>204</v>
      </c>
      <c r="B40" s="20" t="s">
        <v>205</v>
      </c>
      <c r="C40" s="16">
        <v>2.0</v>
      </c>
      <c r="D40" s="26">
        <f t="shared" si="44"/>
        <v>4</v>
      </c>
      <c r="E40" s="18">
        <f t="shared" si="45"/>
        <v>4</v>
      </c>
      <c r="F40" s="16">
        <v>4.0</v>
      </c>
      <c r="G40" s="16">
        <v>4.0</v>
      </c>
      <c r="H40" s="16">
        <v>4.0</v>
      </c>
      <c r="I40" s="16">
        <v>4.0</v>
      </c>
      <c r="J40" s="16">
        <v>4.0</v>
      </c>
      <c r="L40" s="18">
        <f t="shared" si="46"/>
        <v>4</v>
      </c>
      <c r="M40" s="16">
        <v>4.0</v>
      </c>
      <c r="N40" s="16">
        <v>4.0</v>
      </c>
      <c r="O40" s="16">
        <v>4.0</v>
      </c>
      <c r="P40" s="16">
        <v>4.0</v>
      </c>
      <c r="Q40" s="16">
        <v>4.0</v>
      </c>
      <c r="S40" s="18">
        <f t="shared" si="47"/>
        <v>4</v>
      </c>
      <c r="T40" s="16">
        <v>4.0</v>
      </c>
      <c r="U40" s="18"/>
      <c r="V40" s="16">
        <v>4.0</v>
      </c>
      <c r="W40" s="30"/>
      <c r="X40" s="20" t="s">
        <v>206</v>
      </c>
      <c r="AA40" s="18">
        <f t="shared" ref="AA40:AE40" si="49">ABS(F40-M40)</f>
        <v>0</v>
      </c>
      <c r="AB40" s="18">
        <f t="shared" si="49"/>
        <v>0</v>
      </c>
      <c r="AC40" s="18">
        <f t="shared" si="49"/>
        <v>0</v>
      </c>
      <c r="AD40" s="18">
        <f t="shared" si="49"/>
        <v>0</v>
      </c>
      <c r="AE40" s="18">
        <f t="shared" si="49"/>
        <v>0</v>
      </c>
    </row>
    <row r="41">
      <c r="A41" s="1" t="s">
        <v>207</v>
      </c>
      <c r="B41" s="20" t="s">
        <v>208</v>
      </c>
      <c r="C41" s="16">
        <v>2.0</v>
      </c>
      <c r="D41" s="26">
        <f t="shared" si="44"/>
        <v>2.9</v>
      </c>
      <c r="E41" s="18">
        <f t="shared" si="45"/>
        <v>3</v>
      </c>
      <c r="F41" s="16">
        <v>3.0</v>
      </c>
      <c r="G41" s="16">
        <v>4.0</v>
      </c>
      <c r="H41" s="16">
        <v>2.0</v>
      </c>
      <c r="I41" s="16">
        <v>2.0</v>
      </c>
      <c r="J41" s="16">
        <v>4.0</v>
      </c>
      <c r="K41" s="1" t="s">
        <v>209</v>
      </c>
      <c r="L41" s="18">
        <f t="shared" si="46"/>
        <v>2.8</v>
      </c>
      <c r="M41" s="16">
        <v>3.0</v>
      </c>
      <c r="N41" s="16">
        <v>3.0</v>
      </c>
      <c r="O41" s="16">
        <v>2.0</v>
      </c>
      <c r="P41" s="16">
        <v>2.0</v>
      </c>
      <c r="Q41" s="16">
        <v>4.0</v>
      </c>
      <c r="R41" s="1" t="s">
        <v>210</v>
      </c>
      <c r="S41" s="18">
        <f t="shared" si="47"/>
        <v>3.5</v>
      </c>
      <c r="T41" s="16">
        <v>4.0</v>
      </c>
      <c r="U41" s="18"/>
      <c r="V41" s="16">
        <v>3.0</v>
      </c>
      <c r="W41" s="1" t="s">
        <v>211</v>
      </c>
      <c r="X41" s="20" t="s">
        <v>212</v>
      </c>
      <c r="AA41" s="18">
        <f t="shared" ref="AA41:AE41" si="50">ABS(F41-M41)</f>
        <v>0</v>
      </c>
      <c r="AB41" s="18">
        <f t="shared" si="50"/>
        <v>1</v>
      </c>
      <c r="AC41" s="18">
        <f t="shared" si="50"/>
        <v>0</v>
      </c>
      <c r="AD41" s="18">
        <f t="shared" si="50"/>
        <v>0</v>
      </c>
      <c r="AE41" s="18">
        <f t="shared" si="50"/>
        <v>0</v>
      </c>
    </row>
    <row r="42">
      <c r="A42" s="1" t="s">
        <v>213</v>
      </c>
      <c r="B42" s="20" t="s">
        <v>214</v>
      </c>
      <c r="C42" s="16">
        <v>1.0</v>
      </c>
      <c r="D42" s="26">
        <f t="shared" si="44"/>
        <v>3.1</v>
      </c>
      <c r="E42" s="18">
        <f t="shared" si="45"/>
        <v>3.2</v>
      </c>
      <c r="F42" s="16">
        <v>3.0</v>
      </c>
      <c r="G42" s="16">
        <v>3.0</v>
      </c>
      <c r="H42" s="16">
        <v>4.0</v>
      </c>
      <c r="I42" s="16">
        <v>3.0</v>
      </c>
      <c r="J42" s="16">
        <v>3.0</v>
      </c>
      <c r="K42" s="1" t="s">
        <v>215</v>
      </c>
      <c r="L42" s="18">
        <f t="shared" si="46"/>
        <v>3</v>
      </c>
      <c r="M42" s="16">
        <v>3.0</v>
      </c>
      <c r="N42" s="16">
        <v>3.0</v>
      </c>
      <c r="O42" s="16">
        <v>4.0</v>
      </c>
      <c r="P42" s="16">
        <v>2.0</v>
      </c>
      <c r="Q42" s="16">
        <v>3.0</v>
      </c>
      <c r="R42" s="1" t="s">
        <v>216</v>
      </c>
      <c r="S42" s="18">
        <f t="shared" si="47"/>
        <v>4</v>
      </c>
      <c r="T42" s="16">
        <v>4.0</v>
      </c>
      <c r="U42" s="18"/>
      <c r="V42" s="16">
        <v>4.0</v>
      </c>
      <c r="W42" s="30"/>
      <c r="X42" s="20" t="s">
        <v>217</v>
      </c>
      <c r="AA42" s="18">
        <f t="shared" ref="AA42:AE42" si="51">ABS(F42-M42)</f>
        <v>0</v>
      </c>
      <c r="AB42" s="18">
        <f t="shared" si="51"/>
        <v>0</v>
      </c>
      <c r="AC42" s="18">
        <f t="shared" si="51"/>
        <v>0</v>
      </c>
      <c r="AD42" s="18">
        <f t="shared" si="51"/>
        <v>1</v>
      </c>
      <c r="AE42" s="18">
        <f t="shared" si="51"/>
        <v>0</v>
      </c>
    </row>
    <row r="43">
      <c r="A43" s="1" t="s">
        <v>218</v>
      </c>
      <c r="B43" s="20" t="s">
        <v>219</v>
      </c>
      <c r="C43" s="16">
        <v>1.0</v>
      </c>
      <c r="D43" s="26">
        <f t="shared" si="44"/>
        <v>3.3</v>
      </c>
      <c r="E43" s="18">
        <f t="shared" si="45"/>
        <v>3.4</v>
      </c>
      <c r="F43" s="16">
        <v>2.0</v>
      </c>
      <c r="G43" s="16">
        <v>4.0</v>
      </c>
      <c r="H43" s="16">
        <v>4.0</v>
      </c>
      <c r="I43" s="16">
        <v>3.0</v>
      </c>
      <c r="J43" s="16">
        <v>4.0</v>
      </c>
      <c r="K43" s="1" t="s">
        <v>220</v>
      </c>
      <c r="L43" s="18">
        <f t="shared" si="46"/>
        <v>3.2</v>
      </c>
      <c r="M43" s="16">
        <v>2.0</v>
      </c>
      <c r="N43" s="16">
        <v>4.0</v>
      </c>
      <c r="O43" s="16">
        <v>4.0</v>
      </c>
      <c r="P43" s="16">
        <v>2.0</v>
      </c>
      <c r="Q43" s="16">
        <v>4.0</v>
      </c>
      <c r="R43" s="1" t="s">
        <v>221</v>
      </c>
      <c r="S43" s="18">
        <f t="shared" si="47"/>
        <v>4</v>
      </c>
      <c r="T43" s="16">
        <v>4.0</v>
      </c>
      <c r="U43" s="18"/>
      <c r="V43" s="16">
        <v>4.0</v>
      </c>
      <c r="W43" s="18"/>
      <c r="X43" s="20" t="s">
        <v>222</v>
      </c>
      <c r="AA43" s="18">
        <f t="shared" ref="AA43:AE43" si="52">ABS(F43-M43)</f>
        <v>0</v>
      </c>
      <c r="AB43" s="18">
        <f t="shared" si="52"/>
        <v>0</v>
      </c>
      <c r="AC43" s="18">
        <f t="shared" si="52"/>
        <v>0</v>
      </c>
      <c r="AD43" s="18">
        <f t="shared" si="52"/>
        <v>1</v>
      </c>
      <c r="AE43" s="18">
        <f t="shared" si="52"/>
        <v>0</v>
      </c>
    </row>
    <row r="44">
      <c r="A44" s="1" t="s">
        <v>223</v>
      </c>
      <c r="B44" s="20" t="s">
        <v>224</v>
      </c>
      <c r="C44" s="16">
        <v>1.0</v>
      </c>
      <c r="D44" s="26">
        <f t="shared" si="44"/>
        <v>3.1</v>
      </c>
      <c r="E44" s="18">
        <f t="shared" si="45"/>
        <v>3</v>
      </c>
      <c r="F44" s="16">
        <v>3.0</v>
      </c>
      <c r="G44" s="16">
        <v>3.0</v>
      </c>
      <c r="H44" s="16">
        <v>3.0</v>
      </c>
      <c r="I44" s="16">
        <v>2.0</v>
      </c>
      <c r="J44" s="16">
        <v>4.0</v>
      </c>
      <c r="K44" s="1" t="s">
        <v>225</v>
      </c>
      <c r="L44" s="18">
        <f t="shared" si="46"/>
        <v>3.2</v>
      </c>
      <c r="M44" s="16">
        <v>3.0</v>
      </c>
      <c r="N44" s="16">
        <v>3.0</v>
      </c>
      <c r="O44" s="16">
        <v>3.0</v>
      </c>
      <c r="P44" s="16">
        <v>3.0</v>
      </c>
      <c r="Q44" s="16">
        <v>4.0</v>
      </c>
      <c r="R44" s="1" t="s">
        <v>226</v>
      </c>
      <c r="S44" s="18">
        <f t="shared" si="47"/>
        <v>3</v>
      </c>
      <c r="T44" s="16">
        <v>3.0</v>
      </c>
      <c r="U44" s="14" t="s">
        <v>227</v>
      </c>
      <c r="V44" s="16">
        <v>3.0</v>
      </c>
      <c r="W44" s="1" t="s">
        <v>228</v>
      </c>
      <c r="X44" s="20" t="s">
        <v>229</v>
      </c>
      <c r="AA44" s="18">
        <f t="shared" ref="AA44:AE44" si="53">ABS(F44-M44)</f>
        <v>0</v>
      </c>
      <c r="AB44" s="18">
        <f t="shared" si="53"/>
        <v>0</v>
      </c>
      <c r="AC44" s="18">
        <f t="shared" si="53"/>
        <v>0</v>
      </c>
      <c r="AD44" s="18">
        <f t="shared" si="53"/>
        <v>1</v>
      </c>
      <c r="AE44" s="18">
        <f t="shared" si="53"/>
        <v>0</v>
      </c>
    </row>
    <row r="45">
      <c r="A45" s="1" t="s">
        <v>230</v>
      </c>
      <c r="B45" s="20" t="s">
        <v>231</v>
      </c>
      <c r="C45" s="16">
        <v>1.0</v>
      </c>
      <c r="D45" s="26">
        <f t="shared" si="44"/>
        <v>2.9</v>
      </c>
      <c r="E45" s="18">
        <f t="shared" si="45"/>
        <v>2.8</v>
      </c>
      <c r="F45" s="16">
        <v>4.0</v>
      </c>
      <c r="G45" s="16">
        <v>2.0</v>
      </c>
      <c r="H45" s="16">
        <v>2.0</v>
      </c>
      <c r="I45" s="16">
        <v>2.0</v>
      </c>
      <c r="J45" s="16">
        <v>4.0</v>
      </c>
      <c r="K45" s="1" t="s">
        <v>232</v>
      </c>
      <c r="L45" s="18">
        <f t="shared" si="46"/>
        <v>3</v>
      </c>
      <c r="M45" s="16">
        <v>4.0</v>
      </c>
      <c r="N45" s="16">
        <v>2.0</v>
      </c>
      <c r="O45" s="16">
        <v>3.0</v>
      </c>
      <c r="P45" s="16">
        <v>2.0</v>
      </c>
      <c r="Q45" s="16">
        <v>4.0</v>
      </c>
      <c r="R45" s="1" t="s">
        <v>233</v>
      </c>
      <c r="S45" s="18">
        <f t="shared" si="47"/>
        <v>3.5</v>
      </c>
      <c r="T45" s="16">
        <v>4.0</v>
      </c>
      <c r="U45" s="18"/>
      <c r="V45" s="16">
        <v>3.0</v>
      </c>
      <c r="W45" s="1" t="s">
        <v>234</v>
      </c>
      <c r="X45" s="20" t="s">
        <v>235</v>
      </c>
      <c r="AA45" s="18">
        <f t="shared" ref="AA45:AE45" si="54">ABS(F45-M45)</f>
        <v>0</v>
      </c>
      <c r="AB45" s="18">
        <f t="shared" si="54"/>
        <v>0</v>
      </c>
      <c r="AC45" s="18">
        <f t="shared" si="54"/>
        <v>1</v>
      </c>
      <c r="AD45" s="18">
        <f t="shared" si="54"/>
        <v>0</v>
      </c>
      <c r="AE45" s="18">
        <f t="shared" si="54"/>
        <v>0</v>
      </c>
    </row>
    <row r="46">
      <c r="A46" s="1" t="s">
        <v>236</v>
      </c>
      <c r="B46" s="20" t="s">
        <v>237</v>
      </c>
      <c r="C46" s="16">
        <v>1.0</v>
      </c>
      <c r="D46" s="26">
        <f t="shared" si="44"/>
        <v>3.7</v>
      </c>
      <c r="E46" s="18">
        <f t="shared" si="45"/>
        <v>3.6</v>
      </c>
      <c r="F46" s="16">
        <v>4.0</v>
      </c>
      <c r="G46" s="16">
        <v>3.0</v>
      </c>
      <c r="H46" s="16">
        <v>4.0</v>
      </c>
      <c r="I46" s="16">
        <v>3.0</v>
      </c>
      <c r="J46" s="16">
        <v>4.0</v>
      </c>
      <c r="K46" s="1" t="s">
        <v>238</v>
      </c>
      <c r="L46" s="18">
        <f t="shared" si="46"/>
        <v>3.8</v>
      </c>
      <c r="M46" s="16">
        <v>4.0</v>
      </c>
      <c r="N46" s="16">
        <v>4.0</v>
      </c>
      <c r="O46" s="16">
        <v>4.0</v>
      </c>
      <c r="P46" s="16">
        <v>3.0</v>
      </c>
      <c r="Q46" s="16">
        <v>4.0</v>
      </c>
      <c r="R46" s="1" t="s">
        <v>239</v>
      </c>
      <c r="S46" s="18">
        <f t="shared" si="47"/>
        <v>3</v>
      </c>
      <c r="T46" s="16">
        <v>2.0</v>
      </c>
      <c r="U46" s="14" t="s">
        <v>240</v>
      </c>
      <c r="V46" s="16">
        <v>4.0</v>
      </c>
      <c r="W46" s="18"/>
      <c r="X46" s="20" t="s">
        <v>241</v>
      </c>
      <c r="AA46" s="18">
        <f t="shared" ref="AA46:AE46" si="55">ABS(F46-M46)</f>
        <v>0</v>
      </c>
      <c r="AB46" s="18">
        <f t="shared" si="55"/>
        <v>1</v>
      </c>
      <c r="AC46" s="18">
        <f t="shared" si="55"/>
        <v>0</v>
      </c>
      <c r="AD46" s="18">
        <f t="shared" si="55"/>
        <v>0</v>
      </c>
      <c r="AE46" s="18">
        <f t="shared" si="55"/>
        <v>0</v>
      </c>
    </row>
    <row r="47">
      <c r="A47" s="1" t="s">
        <v>242</v>
      </c>
      <c r="B47" s="20" t="s">
        <v>243</v>
      </c>
      <c r="C47" s="16">
        <v>1.0</v>
      </c>
      <c r="D47" s="26">
        <f t="shared" si="44"/>
        <v>3.4</v>
      </c>
      <c r="E47" s="18">
        <f t="shared" si="45"/>
        <v>3.4</v>
      </c>
      <c r="F47" s="16">
        <v>4.0</v>
      </c>
      <c r="G47" s="16">
        <v>3.0</v>
      </c>
      <c r="H47" s="16">
        <v>4.0</v>
      </c>
      <c r="I47" s="16">
        <v>2.0</v>
      </c>
      <c r="J47" s="16">
        <v>4.0</v>
      </c>
      <c r="K47" s="1" t="s">
        <v>244</v>
      </c>
      <c r="L47" s="18">
        <f t="shared" si="46"/>
        <v>3.4</v>
      </c>
      <c r="M47" s="16">
        <v>3.0</v>
      </c>
      <c r="N47" s="16">
        <v>4.0</v>
      </c>
      <c r="O47" s="16">
        <v>4.0</v>
      </c>
      <c r="P47" s="16">
        <v>2.0</v>
      </c>
      <c r="Q47" s="16">
        <v>4.0</v>
      </c>
      <c r="R47" s="1" t="s">
        <v>245</v>
      </c>
      <c r="S47" s="18">
        <f t="shared" si="47"/>
        <v>4</v>
      </c>
      <c r="T47" s="16">
        <v>4.0</v>
      </c>
      <c r="U47" s="18"/>
      <c r="V47" s="16">
        <v>4.0</v>
      </c>
      <c r="W47" s="18"/>
      <c r="X47" s="20" t="s">
        <v>246</v>
      </c>
      <c r="AA47" s="18">
        <f t="shared" ref="AA47:AE47" si="56">ABS(F47-M47)</f>
        <v>1</v>
      </c>
      <c r="AB47" s="18">
        <f t="shared" si="56"/>
        <v>1</v>
      </c>
      <c r="AC47" s="18">
        <f t="shared" si="56"/>
        <v>0</v>
      </c>
      <c r="AD47" s="18">
        <f t="shared" si="56"/>
        <v>0</v>
      </c>
      <c r="AE47" s="18">
        <f t="shared" si="56"/>
        <v>0</v>
      </c>
    </row>
    <row r="48">
      <c r="A48" s="11" t="s">
        <v>247</v>
      </c>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row>
    <row r="49">
      <c r="A49" s="1" t="s">
        <v>248</v>
      </c>
      <c r="B49" s="20" t="s">
        <v>249</v>
      </c>
      <c r="C49" s="16">
        <v>5.0</v>
      </c>
      <c r="D49" s="18">
        <f t="shared" ref="D49:D58" si="58">AVERAGE(E49, L49)
</f>
        <v>3.9</v>
      </c>
      <c r="E49" s="18">
        <f t="shared" ref="E49:E58" si="59">AVERAGE(F49, G49, H49, I49, J49)</f>
        <v>3.8</v>
      </c>
      <c r="F49" s="16">
        <v>3.0</v>
      </c>
      <c r="G49" s="16">
        <v>4.0</v>
      </c>
      <c r="H49" s="16">
        <v>4.0</v>
      </c>
      <c r="I49" s="16">
        <v>4.0</v>
      </c>
      <c r="J49" s="16">
        <v>4.0</v>
      </c>
      <c r="K49" s="1" t="s">
        <v>250</v>
      </c>
      <c r="L49" s="18">
        <f t="shared" ref="L49:L58" si="60">AVERAGE(M49, N49, O49, P49, Q49)</f>
        <v>4</v>
      </c>
      <c r="M49" s="16">
        <v>4.0</v>
      </c>
      <c r="N49" s="16">
        <v>4.0</v>
      </c>
      <c r="O49" s="16">
        <v>4.0</v>
      </c>
      <c r="P49" s="16">
        <v>4.0</v>
      </c>
      <c r="Q49" s="16">
        <v>4.0</v>
      </c>
      <c r="S49" s="18">
        <f t="shared" ref="S49:S58" si="61">AVERAGE(T49, V49)
</f>
        <v>4</v>
      </c>
      <c r="T49" s="16">
        <v>4.0</v>
      </c>
      <c r="V49" s="16">
        <v>4.0</v>
      </c>
      <c r="X49" s="20" t="s">
        <v>251</v>
      </c>
      <c r="AA49" s="18">
        <f t="shared" ref="AA49:AE49" si="57">ABS(F49-M49)</f>
        <v>1</v>
      </c>
      <c r="AB49" s="18">
        <f t="shared" si="57"/>
        <v>0</v>
      </c>
      <c r="AC49" s="18">
        <f t="shared" si="57"/>
        <v>0</v>
      </c>
      <c r="AD49" s="18">
        <f t="shared" si="57"/>
        <v>0</v>
      </c>
      <c r="AE49" s="18">
        <f t="shared" si="57"/>
        <v>0</v>
      </c>
    </row>
    <row r="50">
      <c r="A50" s="1" t="s">
        <v>252</v>
      </c>
      <c r="B50" s="20" t="s">
        <v>253</v>
      </c>
      <c r="C50" s="16">
        <v>3.0</v>
      </c>
      <c r="D50" s="18">
        <f t="shared" si="58"/>
        <v>3.8</v>
      </c>
      <c r="E50" s="18">
        <f t="shared" si="59"/>
        <v>3.8</v>
      </c>
      <c r="F50" s="16">
        <v>4.0</v>
      </c>
      <c r="G50" s="16">
        <v>4.0</v>
      </c>
      <c r="H50" s="16">
        <v>4.0</v>
      </c>
      <c r="I50" s="16">
        <v>3.0</v>
      </c>
      <c r="J50" s="16">
        <v>4.0</v>
      </c>
      <c r="K50" s="29" t="s">
        <v>254</v>
      </c>
      <c r="L50" s="18">
        <f t="shared" si="60"/>
        <v>3.8</v>
      </c>
      <c r="M50" s="16">
        <v>4.0</v>
      </c>
      <c r="N50" s="16">
        <v>4.0</v>
      </c>
      <c r="O50" s="16">
        <v>4.0</v>
      </c>
      <c r="P50" s="16">
        <v>3.0</v>
      </c>
      <c r="Q50" s="16">
        <v>4.0</v>
      </c>
      <c r="R50" s="1" t="s">
        <v>255</v>
      </c>
      <c r="S50" s="18">
        <f t="shared" si="61"/>
        <v>4</v>
      </c>
      <c r="T50" s="16">
        <v>4.0</v>
      </c>
      <c r="V50" s="16">
        <v>4.0</v>
      </c>
      <c r="X50" s="20" t="s">
        <v>256</v>
      </c>
      <c r="AA50" s="18">
        <f t="shared" ref="AA50:AE50" si="62">ABS(F50-M50)</f>
        <v>0</v>
      </c>
      <c r="AB50" s="18">
        <f t="shared" si="62"/>
        <v>0</v>
      </c>
      <c r="AC50" s="18">
        <f t="shared" si="62"/>
        <v>0</v>
      </c>
      <c r="AD50" s="18">
        <f t="shared" si="62"/>
        <v>0</v>
      </c>
      <c r="AE50" s="18">
        <f t="shared" si="62"/>
        <v>0</v>
      </c>
    </row>
    <row r="51">
      <c r="A51" s="1" t="s">
        <v>257</v>
      </c>
      <c r="B51" s="20" t="s">
        <v>258</v>
      </c>
      <c r="C51" s="16">
        <v>1.0</v>
      </c>
      <c r="D51" s="18">
        <f t="shared" si="58"/>
        <v>3.6</v>
      </c>
      <c r="E51" s="18">
        <f t="shared" si="59"/>
        <v>3.6</v>
      </c>
      <c r="F51" s="16">
        <v>4.0</v>
      </c>
      <c r="G51" s="16">
        <v>3.0</v>
      </c>
      <c r="H51" s="16">
        <v>4.0</v>
      </c>
      <c r="I51" s="16">
        <v>4.0</v>
      </c>
      <c r="J51" s="16">
        <v>3.0</v>
      </c>
      <c r="K51" s="1" t="s">
        <v>259</v>
      </c>
      <c r="L51" s="18">
        <f t="shared" si="60"/>
        <v>3.6</v>
      </c>
      <c r="M51" s="16">
        <v>4.0</v>
      </c>
      <c r="N51" s="16">
        <v>3.0</v>
      </c>
      <c r="O51" s="16">
        <v>4.0</v>
      </c>
      <c r="P51" s="16">
        <v>4.0</v>
      </c>
      <c r="Q51" s="16">
        <v>3.0</v>
      </c>
      <c r="R51" s="1" t="s">
        <v>260</v>
      </c>
      <c r="S51" s="18">
        <f t="shared" si="61"/>
        <v>4</v>
      </c>
      <c r="T51" s="16">
        <v>4.0</v>
      </c>
      <c r="V51" s="16">
        <v>4.0</v>
      </c>
      <c r="X51" s="20" t="s">
        <v>261</v>
      </c>
      <c r="AA51" s="18">
        <f t="shared" ref="AA51:AE51" si="63">ABS(F51-M51)</f>
        <v>0</v>
      </c>
      <c r="AB51" s="18">
        <f t="shared" si="63"/>
        <v>0</v>
      </c>
      <c r="AC51" s="18">
        <f t="shared" si="63"/>
        <v>0</v>
      </c>
      <c r="AD51" s="18">
        <f t="shared" si="63"/>
        <v>0</v>
      </c>
      <c r="AE51" s="18">
        <f t="shared" si="63"/>
        <v>0</v>
      </c>
    </row>
    <row r="52">
      <c r="A52" s="1" t="s">
        <v>262</v>
      </c>
      <c r="B52" s="20" t="s">
        <v>263</v>
      </c>
      <c r="C52" s="16">
        <v>1.0</v>
      </c>
      <c r="D52" s="18">
        <f t="shared" si="58"/>
        <v>3.6</v>
      </c>
      <c r="E52" s="18">
        <f t="shared" si="59"/>
        <v>3.8</v>
      </c>
      <c r="F52" s="16">
        <v>4.0</v>
      </c>
      <c r="G52" s="16">
        <v>3.0</v>
      </c>
      <c r="H52" s="16">
        <v>4.0</v>
      </c>
      <c r="I52" s="16">
        <v>4.0</v>
      </c>
      <c r="J52" s="16">
        <v>4.0</v>
      </c>
      <c r="K52" s="1" t="s">
        <v>264</v>
      </c>
      <c r="L52" s="18">
        <f t="shared" si="60"/>
        <v>3.4</v>
      </c>
      <c r="M52" s="16">
        <v>3.0</v>
      </c>
      <c r="N52" s="16">
        <v>4.0</v>
      </c>
      <c r="O52" s="16">
        <v>3.0</v>
      </c>
      <c r="P52" s="16">
        <v>3.0</v>
      </c>
      <c r="Q52" s="16">
        <v>4.0</v>
      </c>
      <c r="R52" s="1" t="s">
        <v>265</v>
      </c>
      <c r="S52" s="18">
        <f t="shared" si="61"/>
        <v>4</v>
      </c>
      <c r="T52" s="16">
        <v>4.0</v>
      </c>
      <c r="V52" s="16">
        <v>4.0</v>
      </c>
      <c r="X52" s="20" t="s">
        <v>266</v>
      </c>
      <c r="AA52" s="18">
        <f t="shared" ref="AA52:AE52" si="64">ABS(F52-M52)</f>
        <v>1</v>
      </c>
      <c r="AB52" s="18">
        <f t="shared" si="64"/>
        <v>1</v>
      </c>
      <c r="AC52" s="18">
        <f t="shared" si="64"/>
        <v>1</v>
      </c>
      <c r="AD52" s="18">
        <f t="shared" si="64"/>
        <v>1</v>
      </c>
      <c r="AE52" s="18">
        <f t="shared" si="64"/>
        <v>0</v>
      </c>
    </row>
    <row r="53">
      <c r="A53" s="1" t="s">
        <v>267</v>
      </c>
      <c r="B53" s="20" t="s">
        <v>268</v>
      </c>
      <c r="C53" s="16">
        <v>6.0</v>
      </c>
      <c r="D53" s="18">
        <f t="shared" si="58"/>
        <v>3.4</v>
      </c>
      <c r="E53" s="18">
        <f t="shared" si="59"/>
        <v>3.4</v>
      </c>
      <c r="F53" s="16">
        <v>4.0</v>
      </c>
      <c r="G53" s="16">
        <v>3.0</v>
      </c>
      <c r="H53" s="16">
        <v>4.0</v>
      </c>
      <c r="I53" s="16">
        <v>4.0</v>
      </c>
      <c r="J53" s="16">
        <v>2.0</v>
      </c>
      <c r="K53" s="19" t="s">
        <v>269</v>
      </c>
      <c r="L53" s="18">
        <f t="shared" si="60"/>
        <v>3.4</v>
      </c>
      <c r="M53" s="16">
        <v>3.0</v>
      </c>
      <c r="N53" s="16">
        <v>4.0</v>
      </c>
      <c r="O53" s="16">
        <v>4.0</v>
      </c>
      <c r="P53" s="16">
        <v>3.0</v>
      </c>
      <c r="Q53" s="16">
        <v>3.0</v>
      </c>
      <c r="R53" s="1" t="s">
        <v>270</v>
      </c>
      <c r="S53" s="18">
        <f t="shared" si="61"/>
        <v>4</v>
      </c>
      <c r="T53" s="16">
        <v>4.0</v>
      </c>
      <c r="V53" s="16">
        <v>4.0</v>
      </c>
      <c r="X53" s="20" t="s">
        <v>271</v>
      </c>
      <c r="AA53" s="18">
        <f t="shared" ref="AA53:AE53" si="65">ABS(F53-M53)</f>
        <v>1</v>
      </c>
      <c r="AB53" s="18">
        <f t="shared" si="65"/>
        <v>1</v>
      </c>
      <c r="AC53" s="18">
        <f t="shared" si="65"/>
        <v>0</v>
      </c>
      <c r="AD53" s="18">
        <f t="shared" si="65"/>
        <v>1</v>
      </c>
      <c r="AE53" s="18">
        <f t="shared" si="65"/>
        <v>1</v>
      </c>
    </row>
    <row r="54">
      <c r="A54" s="1" t="s">
        <v>272</v>
      </c>
      <c r="B54" s="20" t="s">
        <v>273</v>
      </c>
      <c r="C54" s="16">
        <v>3.0</v>
      </c>
      <c r="D54" s="18">
        <f t="shared" si="58"/>
        <v>3.9</v>
      </c>
      <c r="E54" s="18">
        <f t="shared" si="59"/>
        <v>4</v>
      </c>
      <c r="F54" s="16">
        <v>4.0</v>
      </c>
      <c r="G54" s="16">
        <v>4.0</v>
      </c>
      <c r="H54" s="16">
        <v>4.0</v>
      </c>
      <c r="I54" s="16">
        <v>4.0</v>
      </c>
      <c r="J54" s="16">
        <v>4.0</v>
      </c>
      <c r="K54" s="1"/>
      <c r="L54" s="18">
        <f t="shared" si="60"/>
        <v>3.8</v>
      </c>
      <c r="M54" s="16">
        <v>4.0</v>
      </c>
      <c r="N54" s="16">
        <v>4.0</v>
      </c>
      <c r="O54" s="16">
        <v>4.0</v>
      </c>
      <c r="P54" s="16">
        <v>3.0</v>
      </c>
      <c r="Q54" s="16">
        <v>4.0</v>
      </c>
      <c r="R54" s="1" t="s">
        <v>274</v>
      </c>
      <c r="S54" s="18">
        <f t="shared" si="61"/>
        <v>4</v>
      </c>
      <c r="T54" s="16">
        <v>4.0</v>
      </c>
      <c r="V54" s="16">
        <v>4.0</v>
      </c>
      <c r="X54" s="20" t="s">
        <v>275</v>
      </c>
      <c r="AA54" s="18">
        <f t="shared" ref="AA54:AE54" si="66">ABS(F54-M54)</f>
        <v>0</v>
      </c>
      <c r="AB54" s="18">
        <f t="shared" si="66"/>
        <v>0</v>
      </c>
      <c r="AC54" s="18">
        <f t="shared" si="66"/>
        <v>0</v>
      </c>
      <c r="AD54" s="18">
        <f t="shared" si="66"/>
        <v>1</v>
      </c>
      <c r="AE54" s="18">
        <f t="shared" si="66"/>
        <v>0</v>
      </c>
    </row>
    <row r="55">
      <c r="A55" s="1" t="s">
        <v>276</v>
      </c>
      <c r="B55" s="20" t="s">
        <v>277</v>
      </c>
      <c r="C55" s="16">
        <v>1.0</v>
      </c>
      <c r="D55" s="18">
        <f t="shared" si="58"/>
        <v>3.8</v>
      </c>
      <c r="E55" s="18">
        <f t="shared" si="59"/>
        <v>3.8</v>
      </c>
      <c r="F55" s="16">
        <v>4.0</v>
      </c>
      <c r="G55" s="16">
        <v>4.0</v>
      </c>
      <c r="H55" s="16">
        <v>3.0</v>
      </c>
      <c r="I55" s="16">
        <v>4.0</v>
      </c>
      <c r="J55" s="16">
        <v>4.0</v>
      </c>
      <c r="K55" s="1" t="s">
        <v>278</v>
      </c>
      <c r="L55" s="18">
        <f t="shared" si="60"/>
        <v>3.8</v>
      </c>
      <c r="M55" s="16">
        <v>4.0</v>
      </c>
      <c r="N55" s="16">
        <v>4.0</v>
      </c>
      <c r="O55" s="16">
        <v>4.0</v>
      </c>
      <c r="P55" s="16">
        <v>3.0</v>
      </c>
      <c r="Q55" s="16">
        <v>4.0</v>
      </c>
      <c r="R55" s="1" t="s">
        <v>279</v>
      </c>
      <c r="S55" s="18">
        <f t="shared" si="61"/>
        <v>4</v>
      </c>
      <c r="T55" s="16">
        <v>4.0</v>
      </c>
      <c r="V55" s="16">
        <v>4.0</v>
      </c>
      <c r="X55" s="20" t="s">
        <v>280</v>
      </c>
      <c r="AA55" s="18">
        <f t="shared" ref="AA55:AE55" si="67">ABS(F55-M55)</f>
        <v>0</v>
      </c>
      <c r="AB55" s="18">
        <f t="shared" si="67"/>
        <v>0</v>
      </c>
      <c r="AC55" s="18">
        <f t="shared" si="67"/>
        <v>1</v>
      </c>
      <c r="AD55" s="18">
        <f t="shared" si="67"/>
        <v>1</v>
      </c>
      <c r="AE55" s="18">
        <f t="shared" si="67"/>
        <v>0</v>
      </c>
    </row>
    <row r="56">
      <c r="A56" s="1" t="s">
        <v>281</v>
      </c>
      <c r="B56" s="20" t="s">
        <v>282</v>
      </c>
      <c r="C56" s="16">
        <v>1.0</v>
      </c>
      <c r="D56" s="18">
        <f t="shared" si="58"/>
        <v>3.6</v>
      </c>
      <c r="E56" s="18">
        <f t="shared" si="59"/>
        <v>3.6</v>
      </c>
      <c r="F56" s="16">
        <v>4.0</v>
      </c>
      <c r="G56" s="16">
        <v>3.0</v>
      </c>
      <c r="H56" s="16">
        <v>3.0</v>
      </c>
      <c r="I56" s="16">
        <v>4.0</v>
      </c>
      <c r="J56" s="16">
        <v>4.0</v>
      </c>
      <c r="K56" s="1" t="s">
        <v>283</v>
      </c>
      <c r="L56" s="18">
        <f t="shared" si="60"/>
        <v>3.6</v>
      </c>
      <c r="M56" s="16">
        <v>4.0</v>
      </c>
      <c r="N56" s="16">
        <v>4.0</v>
      </c>
      <c r="O56" s="16">
        <v>4.0</v>
      </c>
      <c r="P56" s="16">
        <v>3.0</v>
      </c>
      <c r="Q56" s="16">
        <v>3.0</v>
      </c>
      <c r="R56" s="1" t="s">
        <v>284</v>
      </c>
      <c r="S56" s="18">
        <f t="shared" si="61"/>
        <v>4</v>
      </c>
      <c r="T56" s="16">
        <v>4.0</v>
      </c>
      <c r="V56" s="16">
        <v>4.0</v>
      </c>
      <c r="X56" s="20" t="s">
        <v>285</v>
      </c>
      <c r="AA56" s="18">
        <f t="shared" ref="AA56:AE56" si="68">ABS(F56-M56)</f>
        <v>0</v>
      </c>
      <c r="AB56" s="18">
        <f t="shared" si="68"/>
        <v>1</v>
      </c>
      <c r="AC56" s="18">
        <f t="shared" si="68"/>
        <v>1</v>
      </c>
      <c r="AD56" s="18">
        <f t="shared" si="68"/>
        <v>1</v>
      </c>
      <c r="AE56" s="18">
        <f t="shared" si="68"/>
        <v>1</v>
      </c>
    </row>
    <row r="57">
      <c r="A57" s="1" t="s">
        <v>286</v>
      </c>
      <c r="B57" s="20" t="s">
        <v>287</v>
      </c>
      <c r="C57" s="16">
        <v>2.0</v>
      </c>
      <c r="D57" s="18">
        <f t="shared" si="58"/>
        <v>4</v>
      </c>
      <c r="E57" s="18">
        <f t="shared" si="59"/>
        <v>4</v>
      </c>
      <c r="F57" s="16">
        <v>4.0</v>
      </c>
      <c r="G57" s="16">
        <v>4.0</v>
      </c>
      <c r="H57" s="16">
        <v>4.0</v>
      </c>
      <c r="I57" s="16">
        <v>4.0</v>
      </c>
      <c r="J57" s="16">
        <v>4.0</v>
      </c>
      <c r="L57" s="18">
        <f t="shared" si="60"/>
        <v>4</v>
      </c>
      <c r="M57" s="16">
        <v>4.0</v>
      </c>
      <c r="N57" s="16">
        <v>4.0</v>
      </c>
      <c r="O57" s="16">
        <v>4.0</v>
      </c>
      <c r="P57" s="16">
        <v>4.0</v>
      </c>
      <c r="Q57" s="16">
        <v>4.0</v>
      </c>
      <c r="R57" s="1" t="s">
        <v>288</v>
      </c>
      <c r="S57" s="18">
        <f t="shared" si="61"/>
        <v>3.5</v>
      </c>
      <c r="T57" s="16">
        <v>4.0</v>
      </c>
      <c r="V57" s="16">
        <v>3.0</v>
      </c>
      <c r="W57" s="1" t="s">
        <v>289</v>
      </c>
      <c r="X57" s="20" t="s">
        <v>290</v>
      </c>
      <c r="AA57" s="18">
        <f t="shared" ref="AA57:AE57" si="69">ABS(F57-M57)</f>
        <v>0</v>
      </c>
      <c r="AB57" s="18">
        <f t="shared" si="69"/>
        <v>0</v>
      </c>
      <c r="AC57" s="18">
        <f t="shared" si="69"/>
        <v>0</v>
      </c>
      <c r="AD57" s="18">
        <f t="shared" si="69"/>
        <v>0</v>
      </c>
      <c r="AE57" s="18">
        <f t="shared" si="69"/>
        <v>0</v>
      </c>
    </row>
    <row r="58">
      <c r="A58" s="1" t="s">
        <v>291</v>
      </c>
      <c r="B58" s="20" t="s">
        <v>292</v>
      </c>
      <c r="C58" s="16">
        <v>2.0</v>
      </c>
      <c r="D58" s="18">
        <f t="shared" si="58"/>
        <v>3.8</v>
      </c>
      <c r="E58" s="18">
        <f t="shared" si="59"/>
        <v>4</v>
      </c>
      <c r="F58" s="16">
        <v>4.0</v>
      </c>
      <c r="G58" s="16">
        <v>4.0</v>
      </c>
      <c r="H58" s="16">
        <v>4.0</v>
      </c>
      <c r="I58" s="16">
        <v>4.0</v>
      </c>
      <c r="J58" s="16">
        <v>4.0</v>
      </c>
      <c r="K58" s="1" t="s">
        <v>293</v>
      </c>
      <c r="L58" s="18">
        <f t="shared" si="60"/>
        <v>3.6</v>
      </c>
      <c r="M58" s="16">
        <v>4.0</v>
      </c>
      <c r="N58" s="16">
        <v>4.0</v>
      </c>
      <c r="O58" s="16">
        <v>4.0</v>
      </c>
      <c r="P58" s="16">
        <v>3.0</v>
      </c>
      <c r="Q58" s="16">
        <v>3.0</v>
      </c>
      <c r="R58" s="1" t="s">
        <v>294</v>
      </c>
      <c r="S58" s="18">
        <f t="shared" si="61"/>
        <v>4</v>
      </c>
      <c r="T58" s="16">
        <v>4.0</v>
      </c>
      <c r="V58" s="16">
        <v>4.0</v>
      </c>
      <c r="X58" s="20" t="s">
        <v>295</v>
      </c>
      <c r="AA58" s="18">
        <f t="shared" ref="AA58:AE58" si="70">ABS(F58-M58)</f>
        <v>0</v>
      </c>
      <c r="AB58" s="18">
        <f t="shared" si="70"/>
        <v>0</v>
      </c>
      <c r="AC58" s="18">
        <f t="shared" si="70"/>
        <v>0</v>
      </c>
      <c r="AD58" s="18">
        <f t="shared" si="70"/>
        <v>1</v>
      </c>
      <c r="AE58" s="18">
        <f t="shared" si="70"/>
        <v>1</v>
      </c>
    </row>
  </sheetData>
  <mergeCells count="63">
    <mergeCell ref="X40:Z40"/>
    <mergeCell ref="X41:Z41"/>
    <mergeCell ref="X42:Z42"/>
    <mergeCell ref="X43:Z43"/>
    <mergeCell ref="X44:Z44"/>
    <mergeCell ref="X45:Z45"/>
    <mergeCell ref="X46:Z46"/>
    <mergeCell ref="X55:Z55"/>
    <mergeCell ref="X56:Z56"/>
    <mergeCell ref="X57:Z57"/>
    <mergeCell ref="X58:Z58"/>
    <mergeCell ref="X47:Z47"/>
    <mergeCell ref="X49:Z49"/>
    <mergeCell ref="X50:Z50"/>
    <mergeCell ref="X51:Z51"/>
    <mergeCell ref="X52:Z52"/>
    <mergeCell ref="X53:Z53"/>
    <mergeCell ref="X54:Z54"/>
    <mergeCell ref="L2:R2"/>
    <mergeCell ref="T2:U2"/>
    <mergeCell ref="AA2:AE2"/>
    <mergeCell ref="D1:R1"/>
    <mergeCell ref="S1:W1"/>
    <mergeCell ref="B2:B3"/>
    <mergeCell ref="C2:C3"/>
    <mergeCell ref="D2:D3"/>
    <mergeCell ref="E2:K2"/>
    <mergeCell ref="S2:S3"/>
    <mergeCell ref="V2:W2"/>
    <mergeCell ref="X3:Z3"/>
    <mergeCell ref="X4:Z4"/>
    <mergeCell ref="X5:Z5"/>
    <mergeCell ref="X6:Z6"/>
    <mergeCell ref="X7:Z7"/>
    <mergeCell ref="X8:Z8"/>
    <mergeCell ref="X9:Z9"/>
    <mergeCell ref="X10:Z10"/>
    <mergeCell ref="X11:Z11"/>
    <mergeCell ref="X12:Z12"/>
    <mergeCell ref="X13:Z13"/>
    <mergeCell ref="X14:Z14"/>
    <mergeCell ref="X16:Z16"/>
    <mergeCell ref="X17:Z17"/>
    <mergeCell ref="X18:Z18"/>
    <mergeCell ref="X19:Z19"/>
    <mergeCell ref="X20:Z20"/>
    <mergeCell ref="X21:Z21"/>
    <mergeCell ref="X22:Z22"/>
    <mergeCell ref="X23:Z23"/>
    <mergeCell ref="X24:Z24"/>
    <mergeCell ref="X25:Z25"/>
    <mergeCell ref="X27:Z27"/>
    <mergeCell ref="X28:Z28"/>
    <mergeCell ref="X29:Z29"/>
    <mergeCell ref="X30:Z30"/>
    <mergeCell ref="X31:Z31"/>
    <mergeCell ref="X32:Z32"/>
    <mergeCell ref="X33:Z33"/>
    <mergeCell ref="X34:Z34"/>
    <mergeCell ref="X35:Z35"/>
    <mergeCell ref="X36:Z36"/>
    <mergeCell ref="X38:Z38"/>
    <mergeCell ref="X39:Z39"/>
  </mergeCells>
  <hyperlinks>
    <hyperlink r:id="rId1" ref="B5"/>
    <hyperlink r:id="rId2" ref="X5"/>
    <hyperlink r:id="rId3" ref="B6"/>
    <hyperlink r:id="rId4" ref="X6"/>
    <hyperlink r:id="rId5" ref="B7"/>
    <hyperlink r:id="rId6" ref="X7"/>
    <hyperlink r:id="rId7" ref="B8"/>
    <hyperlink r:id="rId8" ref="X8"/>
    <hyperlink r:id="rId9" ref="B9"/>
    <hyperlink r:id="rId10" ref="X9"/>
    <hyperlink r:id="rId11" ref="B10"/>
    <hyperlink r:id="rId12" ref="X10"/>
    <hyperlink r:id="rId13" ref="B11"/>
    <hyperlink r:id="rId14" ref="X11"/>
    <hyperlink r:id="rId15" ref="B12"/>
    <hyperlink r:id="rId16" ref="X12"/>
    <hyperlink r:id="rId17" ref="B13"/>
    <hyperlink r:id="rId18" ref="X13"/>
    <hyperlink r:id="rId19" ref="B14"/>
    <hyperlink r:id="rId20" ref="X14"/>
    <hyperlink r:id="rId21" ref="B16"/>
    <hyperlink r:id="rId22" ref="X16"/>
    <hyperlink r:id="rId23" ref="B17"/>
    <hyperlink r:id="rId24" ref="X17"/>
    <hyperlink r:id="rId25" ref="B18"/>
    <hyperlink r:id="rId26" ref="X18"/>
    <hyperlink r:id="rId27" ref="B19"/>
    <hyperlink r:id="rId28" ref="X19"/>
    <hyperlink r:id="rId29" ref="B20"/>
    <hyperlink r:id="rId30" ref="X20"/>
    <hyperlink r:id="rId31" ref="B21"/>
    <hyperlink r:id="rId32" ref="X21"/>
    <hyperlink r:id="rId33" ref="B22"/>
    <hyperlink r:id="rId34" ref="X22"/>
    <hyperlink r:id="rId35" ref="B23"/>
    <hyperlink r:id="rId36" ref="X23"/>
    <hyperlink r:id="rId37" ref="B24"/>
    <hyperlink r:id="rId38" ref="X24"/>
    <hyperlink r:id="rId39" ref="B25"/>
    <hyperlink r:id="rId40" ref="X25"/>
    <hyperlink r:id="rId41" ref="B27"/>
    <hyperlink r:id="rId42" ref="X27"/>
    <hyperlink r:id="rId43" ref="B28"/>
    <hyperlink r:id="rId44" ref="X28"/>
    <hyperlink r:id="rId45" ref="B29"/>
    <hyperlink r:id="rId46" ref="X29"/>
    <hyperlink r:id="rId47" ref="B30"/>
    <hyperlink r:id="rId48" ref="X30"/>
    <hyperlink r:id="rId49" ref="B31"/>
    <hyperlink r:id="rId50" ref="X31"/>
    <hyperlink r:id="rId51" ref="B32"/>
    <hyperlink r:id="rId52" ref="X32"/>
    <hyperlink r:id="rId53" ref="B33"/>
    <hyperlink r:id="rId54" ref="X33"/>
    <hyperlink r:id="rId55" ref="B34"/>
    <hyperlink r:id="rId56" ref="X34"/>
    <hyperlink r:id="rId57" ref="B35"/>
    <hyperlink r:id="rId58" ref="X35"/>
    <hyperlink r:id="rId59" ref="B36"/>
    <hyperlink r:id="rId60" ref="X36"/>
    <hyperlink r:id="rId61" ref="B38"/>
    <hyperlink r:id="rId62" ref="X38"/>
    <hyperlink r:id="rId63" ref="B39"/>
    <hyperlink r:id="rId64" ref="X39"/>
    <hyperlink r:id="rId65" ref="B40"/>
    <hyperlink r:id="rId66" ref="X40"/>
    <hyperlink r:id="rId67" ref="B41"/>
    <hyperlink r:id="rId68" ref="X41"/>
    <hyperlink r:id="rId69" ref="B42"/>
    <hyperlink r:id="rId70" ref="X42"/>
    <hyperlink r:id="rId71" ref="B43"/>
    <hyperlink r:id="rId72" ref="X43"/>
    <hyperlink r:id="rId73" ref="B44"/>
    <hyperlink r:id="rId74" ref="X44"/>
    <hyperlink r:id="rId75" ref="B45"/>
    <hyperlink r:id="rId76" ref="X45"/>
    <hyperlink r:id="rId77" ref="B46"/>
    <hyperlink r:id="rId78" ref="X46"/>
    <hyperlink r:id="rId79" ref="B47"/>
    <hyperlink r:id="rId80" ref="X47"/>
    <hyperlink r:id="rId81" ref="B49"/>
    <hyperlink r:id="rId82" ref="X49"/>
    <hyperlink r:id="rId83" ref="B50"/>
    <hyperlink r:id="rId84" ref="X50"/>
    <hyperlink r:id="rId85" ref="B51"/>
    <hyperlink r:id="rId86" ref="X51"/>
    <hyperlink r:id="rId87" ref="B52"/>
    <hyperlink r:id="rId88" ref="X52"/>
    <hyperlink r:id="rId89" ref="B53"/>
    <hyperlink r:id="rId90" ref="X53"/>
    <hyperlink r:id="rId91" ref="B54"/>
    <hyperlink r:id="rId92" ref="X54"/>
    <hyperlink r:id="rId93" ref="B55"/>
    <hyperlink r:id="rId94" ref="X55"/>
    <hyperlink r:id="rId95" ref="B56"/>
    <hyperlink r:id="rId96" ref="X56"/>
    <hyperlink r:id="rId97" ref="B57"/>
    <hyperlink r:id="rId98" ref="X57"/>
    <hyperlink r:id="rId99" ref="B58"/>
    <hyperlink r:id="rId100" ref="X58"/>
  </hyperlinks>
  <drawing r:id="rId1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s>
  <sheetData>
    <row r="1">
      <c r="A1" s="31" t="s">
        <v>19</v>
      </c>
      <c r="B1" s="32"/>
      <c r="C1" s="32"/>
      <c r="D1" s="32"/>
      <c r="E1" s="32"/>
      <c r="F1" s="32"/>
      <c r="G1" s="32"/>
      <c r="H1" s="32"/>
      <c r="I1" s="31" t="s">
        <v>19</v>
      </c>
      <c r="J1" s="32"/>
      <c r="K1" s="32"/>
      <c r="L1" s="32"/>
      <c r="M1" s="32"/>
      <c r="N1" s="32"/>
      <c r="O1" s="32"/>
      <c r="P1" s="32"/>
      <c r="Q1" s="31" t="s">
        <v>19</v>
      </c>
      <c r="R1" s="32"/>
      <c r="S1" s="32"/>
      <c r="T1" s="32"/>
      <c r="U1" s="32"/>
      <c r="V1" s="32"/>
      <c r="W1" s="32"/>
      <c r="X1" s="32"/>
      <c r="Y1" s="31" t="s">
        <v>19</v>
      </c>
      <c r="Z1" s="32"/>
      <c r="AA1" s="32"/>
      <c r="AB1" s="32"/>
      <c r="AC1" s="32"/>
      <c r="AD1" s="32"/>
      <c r="AE1" s="32"/>
      <c r="AF1" s="32"/>
      <c r="AG1" s="31" t="s">
        <v>19</v>
      </c>
      <c r="AH1" s="32"/>
      <c r="AI1" s="32"/>
      <c r="AJ1" s="32"/>
      <c r="AK1" s="32"/>
      <c r="AL1" s="32"/>
      <c r="AM1" s="32"/>
    </row>
    <row r="2">
      <c r="D2" s="2" t="s">
        <v>11</v>
      </c>
      <c r="L2" s="2" t="s">
        <v>12</v>
      </c>
      <c r="T2" s="2" t="s">
        <v>13</v>
      </c>
      <c r="AB2" s="2" t="s">
        <v>14</v>
      </c>
      <c r="AJ2" s="2" t="s">
        <v>15</v>
      </c>
    </row>
    <row r="3">
      <c r="A3" s="1" t="s">
        <v>296</v>
      </c>
      <c r="D3" s="33" t="s">
        <v>6</v>
      </c>
      <c r="I3" s="1" t="s">
        <v>296</v>
      </c>
      <c r="L3" s="33" t="s">
        <v>6</v>
      </c>
      <c r="Q3" s="1" t="s">
        <v>296</v>
      </c>
      <c r="T3" s="33" t="s">
        <v>6</v>
      </c>
      <c r="Y3" s="1" t="s">
        <v>296</v>
      </c>
      <c r="AB3" s="33" t="s">
        <v>6</v>
      </c>
      <c r="AG3" s="1" t="s">
        <v>296</v>
      </c>
      <c r="AJ3" s="33" t="s">
        <v>6</v>
      </c>
    </row>
    <row r="4">
      <c r="B4" s="18"/>
      <c r="C4" s="34">
        <v>1.0</v>
      </c>
      <c r="D4" s="34">
        <v>2.0</v>
      </c>
      <c r="E4" s="34">
        <v>3.0</v>
      </c>
      <c r="F4" s="34">
        <v>4.0</v>
      </c>
      <c r="G4" s="16" t="s">
        <v>297</v>
      </c>
      <c r="J4" s="18"/>
      <c r="K4" s="34">
        <v>1.0</v>
      </c>
      <c r="L4" s="34">
        <v>2.0</v>
      </c>
      <c r="M4" s="34">
        <v>3.0</v>
      </c>
      <c r="N4" s="34">
        <v>4.0</v>
      </c>
      <c r="O4" s="16" t="s">
        <v>297</v>
      </c>
      <c r="R4" s="18"/>
      <c r="S4" s="34">
        <v>1.0</v>
      </c>
      <c r="T4" s="34">
        <v>2.0</v>
      </c>
      <c r="U4" s="34">
        <v>3.0</v>
      </c>
      <c r="V4" s="34">
        <v>4.0</v>
      </c>
      <c r="W4" s="16" t="s">
        <v>297</v>
      </c>
      <c r="Z4" s="18"/>
      <c r="AA4" s="34">
        <v>1.0</v>
      </c>
      <c r="AB4" s="34">
        <v>2.0</v>
      </c>
      <c r="AC4" s="34">
        <v>3.0</v>
      </c>
      <c r="AD4" s="34">
        <v>4.0</v>
      </c>
      <c r="AE4" s="16" t="s">
        <v>297</v>
      </c>
      <c r="AF4" s="16"/>
      <c r="AH4" s="18"/>
      <c r="AI4" s="34">
        <v>1.0</v>
      </c>
      <c r="AJ4" s="34">
        <v>2.0</v>
      </c>
      <c r="AK4" s="34">
        <v>3.0</v>
      </c>
      <c r="AL4" s="34">
        <v>4.0</v>
      </c>
      <c r="AM4" s="16" t="s">
        <v>297</v>
      </c>
    </row>
    <row r="5">
      <c r="B5" s="34">
        <v>1.0</v>
      </c>
      <c r="C5" s="18">
        <f>COUNTIFS(Datasheet!F5:F14,1, Datasheet!M5:M14,1)</f>
        <v>0</v>
      </c>
      <c r="D5" s="18">
        <f>COUNTIFS(Datasheet!F5:F14,1, Datasheet!M5:M14,2)</f>
        <v>4</v>
      </c>
      <c r="E5" s="18">
        <f>COUNTIFS(Datasheet!F5:F14,1, Datasheet!M5:M14,3)</f>
        <v>0</v>
      </c>
      <c r="F5" s="18">
        <f>COUNTIFS(Datasheet!F5:F14,1, Datasheet!M5:M14,4)</f>
        <v>1</v>
      </c>
      <c r="G5" s="18">
        <f t="shared" ref="G5:G8" si="1">SUM(C5, D5, E5, F5)/10</f>
        <v>0.5</v>
      </c>
      <c r="J5" s="34">
        <v>1.0</v>
      </c>
      <c r="K5" s="18">
        <f>COUNTIFS(Datasheet!G5:G14,1, Datasheet!N5:N14,1)</f>
        <v>0</v>
      </c>
      <c r="L5" s="18">
        <f>COUNTIFS(Datasheet!G5:G14,1, Datasheet!N5:N14,2)</f>
        <v>0</v>
      </c>
      <c r="M5" s="18">
        <f>COUNTIFS(Datasheet!G5:G14,1, Datasheet!N5:N14,3)</f>
        <v>0</v>
      </c>
      <c r="N5" s="18">
        <f>COUNTIFS(Datasheet!G5:G14,1, Datasheet!N5:N14,4)</f>
        <v>0</v>
      </c>
      <c r="O5" s="18">
        <f t="shared" ref="O5:O8" si="2">SUM(K5, L5, M5, N5)/10</f>
        <v>0</v>
      </c>
      <c r="R5" s="34">
        <v>1.0</v>
      </c>
      <c r="S5" s="18">
        <f>COUNTIFS(Datasheet!H5:H14,1, Datasheet!O5:O14,1)</f>
        <v>0</v>
      </c>
      <c r="T5" s="18">
        <f>COUNTIFS(Datasheet!H5:H14,1, Datasheet!O5:O14,2)</f>
        <v>0</v>
      </c>
      <c r="U5" s="18">
        <f>COUNTIFS(Datasheet!H5:H14,1, Datasheet!O5:O14,3)</f>
        <v>0</v>
      </c>
      <c r="V5" s="18">
        <f>COUNTIFS(Datasheet!H5:H14,1, Datasheet!O5:O14,4)</f>
        <v>1</v>
      </c>
      <c r="W5" s="18">
        <f t="shared" ref="W5:W8" si="3">SUM(S5, T5, U5, V5)/10</f>
        <v>0.1</v>
      </c>
      <c r="Z5" s="34">
        <v>1.0</v>
      </c>
      <c r="AA5" s="18">
        <f>COUNTIFS(Datasheet!I5:I14,1, Datasheet!P5:P14,1)</f>
        <v>10</v>
      </c>
      <c r="AB5" s="18">
        <f>COUNTIFS(Datasheet!I5:I14,1, Datasheet!P5:P14,2)</f>
        <v>0</v>
      </c>
      <c r="AC5" s="18">
        <f>COUNTIFS(Datasheet!I5:I14,1, Datasheet!P5:P14,3)</f>
        <v>0</v>
      </c>
      <c r="AD5" s="18">
        <f>COUNTIFS(Datasheet!I5:I14,1, Datasheet!P5:P14,4)</f>
        <v>0</v>
      </c>
      <c r="AE5" s="18">
        <f t="shared" ref="AE5:AE8" si="4">SUM(AA5, AB5, AC5, AD5)/10</f>
        <v>1</v>
      </c>
      <c r="AF5" s="18"/>
      <c r="AH5" s="34">
        <v>1.0</v>
      </c>
      <c r="AI5" s="18">
        <f>COUNTIFS(Datasheet!J5:J14,1, Datasheet!Q5:Q14,1)</f>
        <v>0</v>
      </c>
      <c r="AJ5" s="18">
        <f>COUNTIFS(Datasheet!J5:J14,1, Datasheet!Q5:Q14,2)</f>
        <v>0</v>
      </c>
      <c r="AK5" s="18">
        <f>COUNTIFS(Datasheet!J5:J14,1, Datasheet!Q5:Q14,3)</f>
        <v>0</v>
      </c>
      <c r="AL5" s="18">
        <f>COUNTIFS(Datasheet!J5:J14,1, Datasheet!Q5:Q14,4)</f>
        <v>0</v>
      </c>
      <c r="AM5" s="18">
        <f t="shared" ref="AM5:AM8" si="5">SUM(AI5, AJ5, AK5, AL5)/10</f>
        <v>0</v>
      </c>
    </row>
    <row r="6">
      <c r="A6" s="33" t="s">
        <v>5</v>
      </c>
      <c r="B6" s="34">
        <v>2.0</v>
      </c>
      <c r="C6" s="18">
        <f>COUNTIFS(Datasheet!F5:F14,2, Datasheet!M5:M14,1)</f>
        <v>0</v>
      </c>
      <c r="D6" s="18">
        <f>COUNTIFS(Datasheet!F5:F14,2, Datasheet!M5:M14,2)</f>
        <v>1</v>
      </c>
      <c r="E6" s="18">
        <f>COUNTIFS(Datasheet!F5:F14,2, Datasheet!M5:M14,3)</f>
        <v>1</v>
      </c>
      <c r="F6" s="18">
        <f>COUNTIFS(Datasheet!F5:F14,2, Datasheet!M5:M14,4)</f>
        <v>0</v>
      </c>
      <c r="G6" s="18">
        <f t="shared" si="1"/>
        <v>0.2</v>
      </c>
      <c r="I6" s="33" t="s">
        <v>5</v>
      </c>
      <c r="J6" s="34">
        <v>2.0</v>
      </c>
      <c r="K6" s="18">
        <f>COUNTIFS(Datasheet!G5:G14,2, Datasheet!N5:N14,1)</f>
        <v>0</v>
      </c>
      <c r="L6" s="18">
        <f>COUNTIFS(Datasheet!G5:G14,2, Datasheet!N5:N14,2)</f>
        <v>1</v>
      </c>
      <c r="M6" s="18">
        <f>COUNTIFS(Datasheet!G5:G14,2, Datasheet!N5:N14,3)</f>
        <v>2</v>
      </c>
      <c r="N6" s="18">
        <f>COUNTIFS(Datasheet!G5:G14,2, Datasheet!N5:N14,4)</f>
        <v>0</v>
      </c>
      <c r="O6" s="18">
        <f t="shared" si="2"/>
        <v>0.3</v>
      </c>
      <c r="Q6" s="33" t="s">
        <v>5</v>
      </c>
      <c r="R6" s="34">
        <v>2.0</v>
      </c>
      <c r="S6" s="18">
        <f>COUNTIFS(Datasheet!H5:H14,2, Datasheet!O5:O14,1)</f>
        <v>0</v>
      </c>
      <c r="T6" s="18">
        <f>COUNTIFS(Datasheet!H5:H14,2, Datasheet!O5:O14,2)</f>
        <v>0</v>
      </c>
      <c r="U6" s="18">
        <f>COUNTIFS(Datasheet!H5:H14,2, Datasheet!O5:O14,3)</f>
        <v>0</v>
      </c>
      <c r="V6" s="18">
        <f>COUNTIFS(Datasheet!H5:H14,2, Datasheet!O5:O14,4)</f>
        <v>1</v>
      </c>
      <c r="W6" s="18">
        <f t="shared" si="3"/>
        <v>0.1</v>
      </c>
      <c r="Y6" s="33" t="s">
        <v>5</v>
      </c>
      <c r="Z6" s="34">
        <v>2.0</v>
      </c>
      <c r="AA6" s="18">
        <f>COUNTIFS(Datasheet!I5:I14,2, Datasheet!P5:P14,1)</f>
        <v>0</v>
      </c>
      <c r="AB6" s="18">
        <f>COUNTIFS(Datasheet!I5:I14,2, Datasheet!P5:P14,2)</f>
        <v>0</v>
      </c>
      <c r="AC6" s="18">
        <f>COUNTIFS(Datasheet!I5:I14,2, Datasheet!P5:P14,3)</f>
        <v>0</v>
      </c>
      <c r="AD6" s="18">
        <f>COUNTIFS(Datasheet!I5:I14,2, Datasheet!P5:P14,4)</f>
        <v>0</v>
      </c>
      <c r="AE6" s="18">
        <f t="shared" si="4"/>
        <v>0</v>
      </c>
      <c r="AF6" s="18"/>
      <c r="AG6" s="33" t="s">
        <v>5</v>
      </c>
      <c r="AH6" s="34">
        <v>2.0</v>
      </c>
      <c r="AI6" s="18">
        <f>COUNTIFS(Datasheet!J5:J14,2, Datasheet!Q5:Q14,1)</f>
        <v>0</v>
      </c>
      <c r="AJ6" s="18">
        <f>COUNTIFS(Datasheet!J5:J14,2, Datasheet!Q5:Q14,2)</f>
        <v>0</v>
      </c>
      <c r="AK6" s="18">
        <f>COUNTIFS(Datasheet!J5:J14,2, Datasheet!Q5:Q14,3)</f>
        <v>0</v>
      </c>
      <c r="AL6" s="18">
        <f>COUNTIFS(Datasheet!J5:J14,2, Datasheet!Q5:Q14,4)</f>
        <v>0</v>
      </c>
      <c r="AM6" s="18">
        <f t="shared" si="5"/>
        <v>0</v>
      </c>
    </row>
    <row r="7">
      <c r="B7" s="34">
        <v>3.0</v>
      </c>
      <c r="C7" s="18">
        <f>COUNTIFS(Datasheet!F5:F14,3, Datasheet!M5:M14,1)</f>
        <v>0</v>
      </c>
      <c r="D7" s="18">
        <f>COUNTIFS(Datasheet!F5:F14,3, Datasheet!M5:M14,2)</f>
        <v>0</v>
      </c>
      <c r="E7" s="18">
        <f>COUNTIFS(Datasheet!F5:F14,3, Datasheet!M5:M14,3)</f>
        <v>1</v>
      </c>
      <c r="F7" s="18">
        <f>COUNTIFS(Datasheet!F5:F14,3, Datasheet!M5:M14,4)</f>
        <v>2</v>
      </c>
      <c r="G7" s="18">
        <f t="shared" si="1"/>
        <v>0.3</v>
      </c>
      <c r="J7" s="34">
        <v>3.0</v>
      </c>
      <c r="K7" s="18">
        <f>COUNTIFS(Datasheet!G5:G14,3, Datasheet!N5:N14,1)</f>
        <v>0</v>
      </c>
      <c r="L7" s="18">
        <f>COUNTIFS(Datasheet!G5:G14,3, Datasheet!N5:N14,2)</f>
        <v>2</v>
      </c>
      <c r="M7" s="18">
        <f>COUNTIFS(Datasheet!G5:G14,3, Datasheet!N5:N14,3)</f>
        <v>1</v>
      </c>
      <c r="N7" s="18">
        <f>COUNTIFS(Datasheet!G5:G14,3, Datasheet!N5:N14,4)</f>
        <v>0</v>
      </c>
      <c r="O7" s="18">
        <f t="shared" si="2"/>
        <v>0.3</v>
      </c>
      <c r="R7" s="34">
        <v>3.0</v>
      </c>
      <c r="S7" s="18">
        <f>COUNTIFS(Datasheet!H5:H14,3, Datasheet!O5:O14,1)</f>
        <v>0</v>
      </c>
      <c r="T7" s="18">
        <f>COUNTIFS(Datasheet!H5:H14,3, Datasheet!O5:O14,2)</f>
        <v>0</v>
      </c>
      <c r="U7" s="18">
        <f>COUNTIFS(Datasheet!H5:H14,3, Datasheet!O5:O14,3)</f>
        <v>1</v>
      </c>
      <c r="V7" s="18">
        <f>COUNTIFS(Datasheet!H5:H14,3, Datasheet!O5:O14,4)</f>
        <v>4</v>
      </c>
      <c r="W7" s="18">
        <f t="shared" si="3"/>
        <v>0.5</v>
      </c>
      <c r="Z7" s="34">
        <v>3.0</v>
      </c>
      <c r="AA7" s="18">
        <f>COUNTIFS(Datasheet!I5:I14,3, Datasheet!P5:P14,1)</f>
        <v>0</v>
      </c>
      <c r="AB7" s="18">
        <f>COUNTIFS(Datasheet!I5:I14,3, Datasheet!P5:P14,2)</f>
        <v>0</v>
      </c>
      <c r="AC7" s="18">
        <f>COUNTIFS(Datasheet!I5:I14,3, Datasheet!P5:P14,3)</f>
        <v>0</v>
      </c>
      <c r="AD7" s="18">
        <f>COUNTIFS(Datasheet!I5:I14,3, Datasheet!P5:P14,4)</f>
        <v>0</v>
      </c>
      <c r="AE7" s="18">
        <f t="shared" si="4"/>
        <v>0</v>
      </c>
      <c r="AF7" s="18"/>
      <c r="AH7" s="34">
        <v>3.0</v>
      </c>
      <c r="AI7" s="18">
        <f>COUNTIFS(Datasheet!J5:J14,3, Datasheet!Q5:Q14,1)</f>
        <v>0</v>
      </c>
      <c r="AJ7" s="18">
        <f>COUNTIFS(Datasheet!J5:J14,3, Datasheet!Q5:Q14,2)</f>
        <v>1</v>
      </c>
      <c r="AK7" s="18">
        <f>COUNTIFS(Datasheet!J5:J14,3, Datasheet!Q5:Q14,3)</f>
        <v>2</v>
      </c>
      <c r="AL7" s="18">
        <f>COUNTIFS(Datasheet!J5:J14,3, Datasheet!Q5:Q14,4)</f>
        <v>2</v>
      </c>
      <c r="AM7" s="18">
        <f t="shared" si="5"/>
        <v>0.5</v>
      </c>
    </row>
    <row r="8">
      <c r="B8" s="34">
        <v>4.0</v>
      </c>
      <c r="C8" s="18">
        <f>COUNTIFS(Datasheet!F5:F14,4, Datasheet!M5:M14,1)</f>
        <v>0</v>
      </c>
      <c r="D8" s="18">
        <f>COUNTIFS(Datasheet!F5:F14,4, Datasheet!M5:M14,2)</f>
        <v>0</v>
      </c>
      <c r="E8" s="18">
        <f>COUNTIFS(Datasheet!F5:F14,4, Datasheet!M5:M14,3)</f>
        <v>0</v>
      </c>
      <c r="F8" s="18">
        <f>COUNTIFS(Datasheet!F5:F14,4, Datasheet!M5:M14,4)</f>
        <v>0</v>
      </c>
      <c r="G8" s="18">
        <f t="shared" si="1"/>
        <v>0</v>
      </c>
      <c r="J8" s="34">
        <v>4.0</v>
      </c>
      <c r="K8" s="18">
        <f>COUNTIFS(Datasheet!G5:G14,4, Datasheet!N5:N14,1)</f>
        <v>0</v>
      </c>
      <c r="L8" s="18">
        <f>COUNTIFS(Datasheet!G5:G14,4, Datasheet!N5:N14,2)</f>
        <v>4</v>
      </c>
      <c r="M8" s="18">
        <f>COUNTIFS(Datasheet!G5:G14,4, Datasheet!N5:N14,3)</f>
        <v>0</v>
      </c>
      <c r="N8" s="18">
        <f>COUNTIFS(Datasheet!G5:G14,4, Datasheet!N5:N14,4)</f>
        <v>0</v>
      </c>
      <c r="O8" s="18">
        <f t="shared" si="2"/>
        <v>0.4</v>
      </c>
      <c r="R8" s="34">
        <v>4.0</v>
      </c>
      <c r="S8" s="18">
        <f>COUNTIFS(Datasheet!H5:H14,4, Datasheet!O5:O14,1)</f>
        <v>0</v>
      </c>
      <c r="T8" s="18">
        <f>COUNTIFS(Datasheet!H5:H14,4, Datasheet!O5:O14,2)</f>
        <v>1</v>
      </c>
      <c r="U8" s="18">
        <f>COUNTIFS(Datasheet!H5:H14,4, Datasheet!O5:O14,3)</f>
        <v>1</v>
      </c>
      <c r="V8" s="18">
        <f>COUNTIFS(Datasheet!H5:H14,4, Datasheet!O5:O14,4)</f>
        <v>1</v>
      </c>
      <c r="W8" s="18">
        <f t="shared" si="3"/>
        <v>0.3</v>
      </c>
      <c r="Z8" s="34">
        <v>4.0</v>
      </c>
      <c r="AA8" s="18">
        <f>COUNTIFS(Datasheet!I5:I14,4, Datasheet!P5:P14,1)</f>
        <v>0</v>
      </c>
      <c r="AB8" s="18">
        <f>COUNTIFS(Datasheet!I5:I14,4, Datasheet!P5:P14,2)</f>
        <v>0</v>
      </c>
      <c r="AC8" s="18">
        <f>COUNTIFS(Datasheet!I5:I14,4, Datasheet!P5:P14,3)</f>
        <v>0</v>
      </c>
      <c r="AD8" s="18">
        <f>COUNTIFS(Datasheet!I5:I14,4, Datasheet!P5:P14,4)</f>
        <v>0</v>
      </c>
      <c r="AE8" s="18">
        <f t="shared" si="4"/>
        <v>0</v>
      </c>
      <c r="AF8" s="18"/>
      <c r="AH8" s="34">
        <v>4.0</v>
      </c>
      <c r="AI8" s="18">
        <f>COUNTIFS(Datasheet!J5:J14,4, Datasheet!Q5:Q14,1)</f>
        <v>0</v>
      </c>
      <c r="AJ8" s="18">
        <f>COUNTIFS(Datasheet!J5:J14,4, Datasheet!Q5:Q14,2)</f>
        <v>0</v>
      </c>
      <c r="AK8" s="18">
        <f>COUNTIFS(Datasheet!J5:J14,4, Datasheet!Q5:Q14,3)</f>
        <v>3</v>
      </c>
      <c r="AL8" s="18">
        <f>COUNTIFS(Datasheet!J5:J14,4, Datasheet!Q5:Q14,4)</f>
        <v>2</v>
      </c>
      <c r="AM8" s="18">
        <f t="shared" si="5"/>
        <v>0.5</v>
      </c>
    </row>
    <row r="9">
      <c r="B9" s="16" t="s">
        <v>297</v>
      </c>
      <c r="C9" s="18">
        <f t="shared" ref="C9:F9" si="6">SUM(C5:C8)/10</f>
        <v>0</v>
      </c>
      <c r="D9" s="18">
        <f t="shared" si="6"/>
        <v>0.5</v>
      </c>
      <c r="E9" s="18">
        <f t="shared" si="6"/>
        <v>0.2</v>
      </c>
      <c r="F9" s="18">
        <f t="shared" si="6"/>
        <v>0.3</v>
      </c>
      <c r="G9" s="18">
        <f>SUM(G5:G8)</f>
        <v>1</v>
      </c>
      <c r="J9" s="16" t="s">
        <v>297</v>
      </c>
      <c r="K9" s="18">
        <f t="shared" ref="K9:N9" si="7">SUM(K5:K8)/10</f>
        <v>0</v>
      </c>
      <c r="L9" s="18">
        <f t="shared" si="7"/>
        <v>0.7</v>
      </c>
      <c r="M9" s="18">
        <f t="shared" si="7"/>
        <v>0.3</v>
      </c>
      <c r="N9" s="18">
        <f t="shared" si="7"/>
        <v>0</v>
      </c>
      <c r="O9" s="18">
        <f>SUM(O5:O8)</f>
        <v>1</v>
      </c>
      <c r="R9" s="16" t="s">
        <v>297</v>
      </c>
      <c r="S9" s="18">
        <f t="shared" ref="S9:V9" si="8">SUM(S5:S8)/10</f>
        <v>0</v>
      </c>
      <c r="T9" s="18">
        <f t="shared" si="8"/>
        <v>0.1</v>
      </c>
      <c r="U9" s="18">
        <f t="shared" si="8"/>
        <v>0.2</v>
      </c>
      <c r="V9" s="18">
        <f t="shared" si="8"/>
        <v>0.7</v>
      </c>
      <c r="W9" s="18">
        <f>SUM(W5:W8)</f>
        <v>1</v>
      </c>
      <c r="Z9" s="16" t="s">
        <v>297</v>
      </c>
      <c r="AA9" s="18">
        <f t="shared" ref="AA9:AD9" si="9">SUM(AA5:AA8)/10</f>
        <v>1</v>
      </c>
      <c r="AB9" s="18">
        <f t="shared" si="9"/>
        <v>0</v>
      </c>
      <c r="AC9" s="18">
        <f t="shared" si="9"/>
        <v>0</v>
      </c>
      <c r="AD9" s="18">
        <f t="shared" si="9"/>
        <v>0</v>
      </c>
      <c r="AE9" s="18">
        <f>SUM(AE5:AE8)</f>
        <v>1</v>
      </c>
      <c r="AF9" s="18"/>
      <c r="AH9" s="16" t="s">
        <v>297</v>
      </c>
      <c r="AI9" s="18">
        <f t="shared" ref="AI9:AL9" si="10">SUM(AI5:AI8)/10</f>
        <v>0</v>
      </c>
      <c r="AJ9" s="18">
        <f t="shared" si="10"/>
        <v>0.1</v>
      </c>
      <c r="AK9" s="18">
        <f t="shared" si="10"/>
        <v>0.5</v>
      </c>
      <c r="AL9" s="18">
        <f t="shared" si="10"/>
        <v>0.4</v>
      </c>
      <c r="AM9" s="18">
        <f>SUM(AM5:AM8)</f>
        <v>1</v>
      </c>
    </row>
    <row r="11">
      <c r="A11" s="1" t="s">
        <v>298</v>
      </c>
      <c r="C11" s="15">
        <f>(G5*C9)*10</f>
        <v>0</v>
      </c>
      <c r="D11" s="18">
        <f>(G5*D9)*10</f>
        <v>2.5</v>
      </c>
      <c r="E11" s="18">
        <f>(G5*E9)*10</f>
        <v>1</v>
      </c>
      <c r="F11" s="18">
        <f>(G5*F9)*10</f>
        <v>1.5</v>
      </c>
      <c r="I11" s="1" t="s">
        <v>298</v>
      </c>
      <c r="K11" s="15">
        <f>(O5*K9)*10</f>
        <v>0</v>
      </c>
      <c r="L11" s="18">
        <f>(O5*L9)*10</f>
        <v>0</v>
      </c>
      <c r="M11" s="18">
        <f>(O5*M9)*10</f>
        <v>0</v>
      </c>
      <c r="N11" s="18">
        <f>(O5*N9)*10</f>
        <v>0</v>
      </c>
      <c r="Q11" s="1" t="s">
        <v>298</v>
      </c>
      <c r="S11" s="15">
        <f>(W5*S9)*10</f>
        <v>0</v>
      </c>
      <c r="T11" s="18">
        <f>(W5*T9)*10</f>
        <v>0.1</v>
      </c>
      <c r="U11" s="18">
        <f>(W5*U9)*10</f>
        <v>0.2</v>
      </c>
      <c r="V11" s="18">
        <f>(W5*V9)*10</f>
        <v>0.7</v>
      </c>
      <c r="Y11" s="1" t="s">
        <v>298</v>
      </c>
      <c r="AA11" s="15">
        <f>(AE5*AA9)*10</f>
        <v>10</v>
      </c>
      <c r="AB11" s="18">
        <f>(AE5*AB9)*10</f>
        <v>0</v>
      </c>
      <c r="AC11" s="18">
        <f>(AE5*AC9)*10</f>
        <v>0</v>
      </c>
      <c r="AD11" s="18">
        <f>(AE5*AD9)*10</f>
        <v>0</v>
      </c>
      <c r="AG11" s="1" t="s">
        <v>298</v>
      </c>
      <c r="AI11" s="15">
        <f>(AM5*AI9)*10</f>
        <v>0</v>
      </c>
      <c r="AJ11" s="18">
        <f>(AM5*AJ9)*10</f>
        <v>0</v>
      </c>
      <c r="AK11" s="18">
        <f>(AM5*AK9)*10</f>
        <v>0</v>
      </c>
      <c r="AL11" s="18">
        <f>(AM5*AL9)*10</f>
        <v>0</v>
      </c>
    </row>
    <row r="12">
      <c r="C12" s="15">
        <f>(G6*C9)*10</f>
        <v>0</v>
      </c>
      <c r="D12" s="18">
        <f>(G6*D9)*10</f>
        <v>1</v>
      </c>
      <c r="E12" s="18">
        <f>(G6*E9)*10</f>
        <v>0.4</v>
      </c>
      <c r="F12" s="18">
        <f>(G6*F9)*10</f>
        <v>0.6</v>
      </c>
      <c r="K12" s="15">
        <f>(O6*K9)*10</f>
        <v>0</v>
      </c>
      <c r="L12" s="18">
        <f>(O6*L9)*10</f>
        <v>2.1</v>
      </c>
      <c r="M12" s="18">
        <f>(O6*M9)*10</f>
        <v>0.9</v>
      </c>
      <c r="N12" s="18">
        <f>(O6*N9)*10</f>
        <v>0</v>
      </c>
      <c r="S12" s="15">
        <f>(W6*S9)*10</f>
        <v>0</v>
      </c>
      <c r="T12" s="18">
        <f>(W6*T9)*10</f>
        <v>0.1</v>
      </c>
      <c r="U12" s="18">
        <f>(W6*U9)*10</f>
        <v>0.2</v>
      </c>
      <c r="V12" s="18">
        <f>(W6*V9)*10</f>
        <v>0.7</v>
      </c>
      <c r="AA12" s="15">
        <f>(AE6*AA9)*10</f>
        <v>0</v>
      </c>
      <c r="AB12" s="18">
        <f>(AE6*AB9)*10</f>
        <v>0</v>
      </c>
      <c r="AC12" s="18">
        <f>(AE6*AC9)*10</f>
        <v>0</v>
      </c>
      <c r="AD12" s="18">
        <f>(AE6*AD9)*10</f>
        <v>0</v>
      </c>
      <c r="AI12" s="15">
        <f>(AM6*AI9)*10</f>
        <v>0</v>
      </c>
      <c r="AJ12" s="18">
        <f>(AM6*AJ9)*10</f>
        <v>0</v>
      </c>
      <c r="AK12" s="18">
        <f>(AM6*AK9)*10</f>
        <v>0</v>
      </c>
      <c r="AL12" s="18">
        <f>(AM6*AL9)*10</f>
        <v>0</v>
      </c>
    </row>
    <row r="13">
      <c r="C13" s="15">
        <f>(G7*C9)*10</f>
        <v>0</v>
      </c>
      <c r="D13" s="18">
        <f>(G7*D9)*10</f>
        <v>1.5</v>
      </c>
      <c r="E13" s="18">
        <f>(G7*E9)*10</f>
        <v>0.6</v>
      </c>
      <c r="F13" s="18">
        <f>(G7*F9)*10</f>
        <v>0.9</v>
      </c>
      <c r="K13" s="15">
        <f>(O7*K9)*10</f>
        <v>0</v>
      </c>
      <c r="L13" s="18">
        <f>(O7*L9)*10</f>
        <v>2.1</v>
      </c>
      <c r="M13" s="18">
        <f>(O7*M9)*10</f>
        <v>0.9</v>
      </c>
      <c r="N13" s="18">
        <f>(O7*N9)*10</f>
        <v>0</v>
      </c>
      <c r="S13" s="15">
        <f>(W7*S9)*10</f>
        <v>0</v>
      </c>
      <c r="T13" s="18">
        <f>(W7*T9)*10</f>
        <v>0.5</v>
      </c>
      <c r="U13" s="18">
        <f>(W7*U9)*10</f>
        <v>1</v>
      </c>
      <c r="V13" s="18">
        <f>(W7*V9)*10</f>
        <v>3.5</v>
      </c>
      <c r="AA13" s="15">
        <f>(AE7*AA9)*10</f>
        <v>0</v>
      </c>
      <c r="AB13" s="18">
        <f>(AE7*AB9)*10</f>
        <v>0</v>
      </c>
      <c r="AC13" s="18">
        <f>(AE7*AC9)*10</f>
        <v>0</v>
      </c>
      <c r="AD13" s="18">
        <f>(AE7*AD9)*10</f>
        <v>0</v>
      </c>
      <c r="AI13" s="15">
        <f>(AM7*AI9)*10</f>
        <v>0</v>
      </c>
      <c r="AJ13" s="15">
        <f>(AM7*AJ9)*10</f>
        <v>0.5</v>
      </c>
      <c r="AK13" s="18">
        <f>(AM7*AK9)*10</f>
        <v>2.5</v>
      </c>
      <c r="AL13" s="18">
        <f>(AM7*AL9)*10</f>
        <v>2</v>
      </c>
    </row>
    <row r="14">
      <c r="C14" s="15">
        <f>(G8*C9)*10</f>
        <v>0</v>
      </c>
      <c r="D14" s="15">
        <f>(G8*D9)*10</f>
        <v>0</v>
      </c>
      <c r="E14" s="15">
        <f>(G8*E9)*10</f>
        <v>0</v>
      </c>
      <c r="F14" s="15">
        <f>(G8*F9)*10</f>
        <v>0</v>
      </c>
      <c r="K14" s="15">
        <f>(O8*K9)*10</f>
        <v>0</v>
      </c>
      <c r="L14" s="15">
        <f>(O8*L9)*10</f>
        <v>2.8</v>
      </c>
      <c r="M14" s="15">
        <f>(O8*M9)*10</f>
        <v>1.2</v>
      </c>
      <c r="N14" s="15">
        <f>(O8*N9)*10</f>
        <v>0</v>
      </c>
      <c r="S14" s="15">
        <f>(W8*S9)*10</f>
        <v>0</v>
      </c>
      <c r="T14" s="15">
        <f>(W8*T9)*10</f>
        <v>0.3</v>
      </c>
      <c r="U14" s="15">
        <f>(W8*U9)*10</f>
        <v>0.6</v>
      </c>
      <c r="V14" s="15">
        <f>(W8*V9)*10</f>
        <v>2.1</v>
      </c>
      <c r="AA14" s="15">
        <f>(AE8*AA9)*10</f>
        <v>0</v>
      </c>
      <c r="AB14" s="15">
        <f>(AE8*AB9)*10</f>
        <v>0</v>
      </c>
      <c r="AC14" s="15">
        <f>(AE8*AC9)*10</f>
        <v>0</v>
      </c>
      <c r="AD14" s="15">
        <f>(AE8*AD9)*10</f>
        <v>0</v>
      </c>
      <c r="AI14" s="15">
        <f>(AM8*AI9)*10</f>
        <v>0</v>
      </c>
      <c r="AJ14" s="15">
        <f>(AM8*AJ9)*10</f>
        <v>0.5</v>
      </c>
      <c r="AK14" s="15">
        <f>(AM8*AK9)*10</f>
        <v>2.5</v>
      </c>
      <c r="AL14" s="15">
        <f>(AM8*AL9)*10</f>
        <v>2</v>
      </c>
    </row>
    <row r="16">
      <c r="A16" s="1" t="s">
        <v>299</v>
      </c>
      <c r="C16" s="35">
        <f>((B5-C4)^2)/((4-1)^2)</f>
        <v>0</v>
      </c>
      <c r="D16" s="15">
        <f>((B5-D4)^2)/((4-1)^2)</f>
        <v>0.1111111111</v>
      </c>
      <c r="E16" s="15">
        <f>((B5-E4)^2)/((4-1)^2)</f>
        <v>0.4444444444</v>
      </c>
      <c r="F16" s="18">
        <f>((B5-F4)^2)/((4-1)^2)</f>
        <v>1</v>
      </c>
      <c r="I16" s="1" t="s">
        <v>299</v>
      </c>
      <c r="K16" s="35">
        <f>((J5-K4)^2)/((4-1)^2)</f>
        <v>0</v>
      </c>
      <c r="L16" s="15">
        <f>((J5-L4)^2)/((4-1)^2)</f>
        <v>0.1111111111</v>
      </c>
      <c r="M16" s="15">
        <f>((J5-M4)^2)/((4-1)^2)</f>
        <v>0.4444444444</v>
      </c>
      <c r="N16" s="18">
        <f>((J5-N4)^2)/((4-1)^2)</f>
        <v>1</v>
      </c>
      <c r="Q16" s="1" t="s">
        <v>299</v>
      </c>
      <c r="S16" s="35">
        <f>((R5-S4)^2)/((4-1)^2)</f>
        <v>0</v>
      </c>
      <c r="T16" s="15">
        <f>((R5-T4)^2)/((4-1)^2)</f>
        <v>0.1111111111</v>
      </c>
      <c r="U16" s="15">
        <f>((R5-U4)^2)/((4-1)^2)</f>
        <v>0.4444444444</v>
      </c>
      <c r="V16" s="18">
        <f>((R5-V4)^2)/((4-1)^2)</f>
        <v>1</v>
      </c>
      <c r="Y16" s="1" t="s">
        <v>299</v>
      </c>
      <c r="AA16" s="35">
        <f>((Z5-AA4)^2)/((4-1)^2)</f>
        <v>0</v>
      </c>
      <c r="AB16" s="15">
        <f>((Z5-AB4)^2)/((4-1)^2)</f>
        <v>0.1111111111</v>
      </c>
      <c r="AC16" s="15">
        <f>((Z5-AC4)^2)/((4-1)^2)</f>
        <v>0.4444444444</v>
      </c>
      <c r="AD16" s="18">
        <f>((Z5-AD4)^2)/((4-1)^2)</f>
        <v>1</v>
      </c>
      <c r="AG16" s="1" t="s">
        <v>299</v>
      </c>
      <c r="AI16" s="35">
        <f>((AH5-AI4)^2)/((4-1)^2)</f>
        <v>0</v>
      </c>
      <c r="AJ16" s="15">
        <f>((AH5-AJ4)^2)/((4-1)^2)</f>
        <v>0.1111111111</v>
      </c>
      <c r="AK16" s="15">
        <f>((AH5-AK4)^2)/((4-1)^2)</f>
        <v>0.4444444444</v>
      </c>
      <c r="AL16" s="18">
        <f>((AH5-AL4)^2)/((4-1)^2)</f>
        <v>1</v>
      </c>
    </row>
    <row r="17">
      <c r="C17" s="15">
        <f>((B6-C4)^2)/((4-1)^2)</f>
        <v>0.1111111111</v>
      </c>
      <c r="D17" s="18">
        <f>((B6-D4)^2)/((4-1)^2)</f>
        <v>0</v>
      </c>
      <c r="E17" s="15">
        <f>((B6-E4)^2)/((4-1)^2)</f>
        <v>0.1111111111</v>
      </c>
      <c r="F17" s="15">
        <f>((B6-F4)^2)/((4-1)^2)</f>
        <v>0.4444444444</v>
      </c>
      <c r="K17" s="15">
        <f>((J6-K4)^2)/((4-1)^2)</f>
        <v>0.1111111111</v>
      </c>
      <c r="L17" s="18">
        <f>((J6-L4)^2)/((4-1)^2)</f>
        <v>0</v>
      </c>
      <c r="M17" s="15">
        <f>((J6-M4)^2)/((4-1)^2)</f>
        <v>0.1111111111</v>
      </c>
      <c r="N17" s="15">
        <f>((J6-N4)^2)/((4-1)^2)</f>
        <v>0.4444444444</v>
      </c>
      <c r="S17" s="15">
        <f>((R6-S4)^2)/((4-1)^2)</f>
        <v>0.1111111111</v>
      </c>
      <c r="T17" s="18">
        <f>((R6-T4)^2)/((4-1)^2)</f>
        <v>0</v>
      </c>
      <c r="U17" s="15">
        <f>((R6-U4)^2)/((4-1)^2)</f>
        <v>0.1111111111</v>
      </c>
      <c r="V17" s="15">
        <f>((R6-V4)^2)/((4-1)^2)</f>
        <v>0.4444444444</v>
      </c>
      <c r="AA17" s="15">
        <f>((Z6-AA4)^2)/((4-1)^2)</f>
        <v>0.1111111111</v>
      </c>
      <c r="AB17" s="18">
        <f>((Z6-AB4)^2)/((4-1)^2)</f>
        <v>0</v>
      </c>
      <c r="AC17" s="15">
        <f>((Z6-AC4)^2)/((4-1)^2)</f>
        <v>0.1111111111</v>
      </c>
      <c r="AD17" s="15">
        <f>((Z6-AD4)^2)/((4-1)^2)</f>
        <v>0.4444444444</v>
      </c>
      <c r="AI17" s="15">
        <f>((AH6-AI4)^2)/((4-1)^2)</f>
        <v>0.1111111111</v>
      </c>
      <c r="AJ17" s="18">
        <f>((AH6-AJ4)^2)/((4-1)^2)</f>
        <v>0</v>
      </c>
      <c r="AK17" s="15">
        <f>((AH6-AK4)^2)/((4-1)^2)</f>
        <v>0.1111111111</v>
      </c>
      <c r="AL17" s="15">
        <f>((AH6-AL4)^2)/((4-1)^2)</f>
        <v>0.4444444444</v>
      </c>
    </row>
    <row r="18">
      <c r="C18" s="15">
        <f>((B7-C4)^2)/((4-1)^2)</f>
        <v>0.4444444444</v>
      </c>
      <c r="D18" s="15">
        <f>((B7-D4)^2)/((4-1)^2)</f>
        <v>0.1111111111</v>
      </c>
      <c r="E18" s="18">
        <f>((B7-E4)^2)/((4-1)^2)</f>
        <v>0</v>
      </c>
      <c r="F18" s="15">
        <f>((B7-F4)^2)/((4-1)^2)</f>
        <v>0.1111111111</v>
      </c>
      <c r="K18" s="15">
        <f>((J7-K4)^2)/((4-1)^2)</f>
        <v>0.4444444444</v>
      </c>
      <c r="L18" s="15">
        <f>((J7-L4)^2)/((4-1)^2)</f>
        <v>0.1111111111</v>
      </c>
      <c r="M18" s="18">
        <f>((J7-M4)^2)/((4-1)^2)</f>
        <v>0</v>
      </c>
      <c r="N18" s="15">
        <f>((J7-N4)^2)/((4-1)^2)</f>
        <v>0.1111111111</v>
      </c>
      <c r="S18" s="15">
        <f>((R7-S4)^2)/((4-1)^2)</f>
        <v>0.4444444444</v>
      </c>
      <c r="T18" s="15">
        <f>((R7-T4)^2)/((4-1)^2)</f>
        <v>0.1111111111</v>
      </c>
      <c r="U18" s="18">
        <f>((R7-U4)^2)/((4-1)^2)</f>
        <v>0</v>
      </c>
      <c r="V18" s="15">
        <f>((R7-V4)^2)/((4-1)^2)</f>
        <v>0.1111111111</v>
      </c>
      <c r="AA18" s="15">
        <f>((Z7-AA4)^2)/((4-1)^2)</f>
        <v>0.4444444444</v>
      </c>
      <c r="AB18" s="15">
        <f>((Z7-AB4)^2)/((4-1)^2)</f>
        <v>0.1111111111</v>
      </c>
      <c r="AC18" s="18">
        <f>((Z7-AC4)^2)/((4-1)^2)</f>
        <v>0</v>
      </c>
      <c r="AD18" s="15">
        <f>((Z7-AD4)^2)/((4-1)^2)</f>
        <v>0.1111111111</v>
      </c>
      <c r="AI18" s="15">
        <f>((AH7-AI4)^2)/((4-1)^2)</f>
        <v>0.4444444444</v>
      </c>
      <c r="AJ18" s="15">
        <f>((AH7-AJ4)^2)/((4-1)^2)</f>
        <v>0.1111111111</v>
      </c>
      <c r="AK18" s="18">
        <f>((AH7-AK4)^2)/((4-1)^2)</f>
        <v>0</v>
      </c>
      <c r="AL18" s="15">
        <f>((AH7-AL4)^2)/((4-1)^2)</f>
        <v>0.1111111111</v>
      </c>
    </row>
    <row r="19">
      <c r="C19" s="36">
        <f>((B8-C4)^2)/((4-1)^2)</f>
        <v>1</v>
      </c>
      <c r="D19" s="15">
        <f>((B8-D4)^2)/((4-1)^2)</f>
        <v>0.4444444444</v>
      </c>
      <c r="E19" s="15">
        <f>((B8-E4)^2)/((4-1)^2)</f>
        <v>0.1111111111</v>
      </c>
      <c r="F19" s="18">
        <f>((B8-F4)^2)/((4-1)^2)</f>
        <v>0</v>
      </c>
      <c r="K19" s="36">
        <f>((J8-K4)^2)/((4-1)^2)</f>
        <v>1</v>
      </c>
      <c r="L19" s="15">
        <f>((J8-L4)^2)/((4-1)^2)</f>
        <v>0.4444444444</v>
      </c>
      <c r="M19" s="15">
        <f>((J8-M4)^2)/((4-1)^2)</f>
        <v>0.1111111111</v>
      </c>
      <c r="N19" s="18">
        <f>((J8-N4)^2)/((4-1)^2)</f>
        <v>0</v>
      </c>
      <c r="S19" s="36">
        <f>((R8-S4)^2)/((4-1)^2)</f>
        <v>1</v>
      </c>
      <c r="T19" s="15">
        <f>((R8-T4)^2)/((4-1)^2)</f>
        <v>0.4444444444</v>
      </c>
      <c r="U19" s="15">
        <f>((R8-U4)^2)/((4-1)^2)</f>
        <v>0.1111111111</v>
      </c>
      <c r="V19" s="18">
        <f>((R8-V4)^2)/((4-1)^2)</f>
        <v>0</v>
      </c>
      <c r="AA19" s="36">
        <f>((Z8-AA4)^2)/((4-1)^2)</f>
        <v>1</v>
      </c>
      <c r="AB19" s="15">
        <f>((Z8-AB4)^2)/((4-1)^2)</f>
        <v>0.4444444444</v>
      </c>
      <c r="AC19" s="15">
        <f>((Z8-AC4)^2)/((4-1)^2)</f>
        <v>0.1111111111</v>
      </c>
      <c r="AD19" s="18">
        <f>((Z8-AD4)^2)/((4-1)^2)</f>
        <v>0</v>
      </c>
      <c r="AI19" s="36">
        <f>((AH8-AI4)^2)/((4-1)^2)</f>
        <v>1</v>
      </c>
      <c r="AJ19" s="15">
        <f>((AH8-AJ4)^2)/((4-1)^2)</f>
        <v>0.4444444444</v>
      </c>
      <c r="AK19" s="15">
        <f>((AH8-AK4)^2)/((4-1)^2)</f>
        <v>0.1111111111</v>
      </c>
      <c r="AL19" s="18">
        <f>((AH8-AL4)^2)/((4-1)^2)</f>
        <v>0</v>
      </c>
    </row>
    <row r="21">
      <c r="A21" s="1" t="s">
        <v>300</v>
      </c>
      <c r="B21" s="37">
        <f>1-(SUMPRODUCT(C5:F8,C16:F19)/SUMPRODUCT(C11:F14,C16:F19))</f>
        <v>0.3650793651</v>
      </c>
      <c r="I21" s="1" t="s">
        <v>300</v>
      </c>
      <c r="J21" s="37">
        <f>1-SUMPRODUCT(K5:N8,K16:N19)/SUMPRODUCT(K11:N14,K16:N19)</f>
        <v>-0.2987012987</v>
      </c>
      <c r="Q21" s="1" t="s">
        <v>300</v>
      </c>
      <c r="R21" s="37">
        <f>1-SUMPRODUCT(S5:V8,S16:V19)/SUMPRODUCT(S11:V14,S16:V19)</f>
        <v>-0.375</v>
      </c>
      <c r="Y21" s="1" t="s">
        <v>300</v>
      </c>
      <c r="Z21" s="37">
        <f>1-IFERROR(SUMPRODUCT(AA5:AD8,AA16:AD19)/SUMPRODUCT(AA11:AD14,AA16:AD19),0)</f>
        <v>1</v>
      </c>
      <c r="AG21" s="1" t="s">
        <v>300</v>
      </c>
      <c r="AH21" s="37">
        <f>1-SUMPRODUCT(AI5:AL8,AI16:AL19)/SUMPRODUCT(AI11:AL14,AI16:AL19)</f>
        <v>0.1428571429</v>
      </c>
    </row>
    <row r="23">
      <c r="A23" s="31" t="s">
        <v>84</v>
      </c>
      <c r="B23" s="32"/>
      <c r="C23" s="32"/>
      <c r="D23" s="32"/>
      <c r="E23" s="32"/>
      <c r="F23" s="32"/>
      <c r="G23" s="32"/>
      <c r="H23" s="32"/>
      <c r="I23" s="31" t="s">
        <v>84</v>
      </c>
      <c r="J23" s="32"/>
      <c r="K23" s="32"/>
      <c r="L23" s="32"/>
      <c r="M23" s="32"/>
      <c r="N23" s="32"/>
      <c r="O23" s="32"/>
      <c r="P23" s="32"/>
      <c r="Q23" s="31" t="s">
        <v>84</v>
      </c>
      <c r="R23" s="32"/>
      <c r="S23" s="32"/>
      <c r="T23" s="32"/>
      <c r="U23" s="32"/>
      <c r="V23" s="32"/>
      <c r="W23" s="32"/>
      <c r="X23" s="32"/>
      <c r="Y23" s="31" t="s">
        <v>84</v>
      </c>
      <c r="Z23" s="32"/>
      <c r="AA23" s="32"/>
      <c r="AB23" s="32"/>
      <c r="AC23" s="32"/>
      <c r="AD23" s="32"/>
      <c r="AE23" s="32"/>
      <c r="AF23" s="32"/>
      <c r="AG23" s="31" t="s">
        <v>84</v>
      </c>
      <c r="AH23" s="32"/>
      <c r="AI23" s="32"/>
      <c r="AJ23" s="32"/>
      <c r="AK23" s="32"/>
      <c r="AL23" s="32"/>
      <c r="AM23" s="32"/>
    </row>
    <row r="24">
      <c r="D24" s="2" t="s">
        <v>11</v>
      </c>
      <c r="L24" s="2" t="s">
        <v>12</v>
      </c>
      <c r="T24" s="2" t="s">
        <v>13</v>
      </c>
      <c r="AB24" s="2" t="s">
        <v>14</v>
      </c>
      <c r="AJ24" s="2" t="s">
        <v>15</v>
      </c>
    </row>
    <row r="25">
      <c r="A25" s="1" t="s">
        <v>296</v>
      </c>
      <c r="D25" s="33" t="s">
        <v>6</v>
      </c>
      <c r="I25" s="1" t="s">
        <v>296</v>
      </c>
      <c r="L25" s="33" t="s">
        <v>6</v>
      </c>
      <c r="Q25" s="1" t="s">
        <v>296</v>
      </c>
      <c r="T25" s="33" t="s">
        <v>6</v>
      </c>
      <c r="Y25" s="1" t="s">
        <v>296</v>
      </c>
      <c r="AB25" s="33" t="s">
        <v>6</v>
      </c>
      <c r="AG25" s="1" t="s">
        <v>296</v>
      </c>
      <c r="AJ25" s="33" t="s">
        <v>6</v>
      </c>
    </row>
    <row r="26">
      <c r="B26" s="18"/>
      <c r="C26" s="34">
        <v>1.0</v>
      </c>
      <c r="D26" s="34">
        <v>2.0</v>
      </c>
      <c r="E26" s="34">
        <v>3.0</v>
      </c>
      <c r="F26" s="34">
        <v>4.0</v>
      </c>
      <c r="G26" s="16" t="s">
        <v>297</v>
      </c>
      <c r="J26" s="18"/>
      <c r="K26" s="34">
        <v>1.0</v>
      </c>
      <c r="L26" s="34">
        <v>2.0</v>
      </c>
      <c r="M26" s="34">
        <v>3.0</v>
      </c>
      <c r="N26" s="34">
        <v>4.0</v>
      </c>
      <c r="O26" s="16" t="s">
        <v>297</v>
      </c>
      <c r="R26" s="18"/>
      <c r="S26" s="34">
        <v>1.0</v>
      </c>
      <c r="T26" s="34">
        <v>2.0</v>
      </c>
      <c r="U26" s="34">
        <v>3.0</v>
      </c>
      <c r="V26" s="34">
        <v>4.0</v>
      </c>
      <c r="W26" s="16" t="s">
        <v>297</v>
      </c>
      <c r="Z26" s="18"/>
      <c r="AA26" s="34">
        <v>1.0</v>
      </c>
      <c r="AB26" s="34">
        <v>2.0</v>
      </c>
      <c r="AC26" s="34">
        <v>3.0</v>
      </c>
      <c r="AD26" s="34">
        <v>4.0</v>
      </c>
      <c r="AE26" s="16" t="s">
        <v>297</v>
      </c>
      <c r="AH26" s="18"/>
      <c r="AI26" s="34">
        <v>1.0</v>
      </c>
      <c r="AJ26" s="34">
        <v>2.0</v>
      </c>
      <c r="AK26" s="34">
        <v>3.0</v>
      </c>
      <c r="AL26" s="34">
        <v>4.0</v>
      </c>
      <c r="AM26" s="16" t="s">
        <v>297</v>
      </c>
    </row>
    <row r="27">
      <c r="B27" s="34">
        <v>1.0</v>
      </c>
      <c r="C27" s="18">
        <f>COUNTIFS(Datasheet!F16:F25,1, Datasheet!M16:M25,1)</f>
        <v>0</v>
      </c>
      <c r="D27" s="18">
        <f>COUNTIFS(Datasheet!F16:F25,1, Datasheet!M16:M25,2)</f>
        <v>0</v>
      </c>
      <c r="E27" s="18">
        <f>COUNTIFS(Datasheet!F16:F25,1, Datasheet!M16:M25,3)</f>
        <v>0</v>
      </c>
      <c r="F27" s="18">
        <f>COUNTIFS(Datasheet!F16:F25,1, Datasheet!M16:M25,4)</f>
        <v>0</v>
      </c>
      <c r="G27" s="18">
        <f t="shared" ref="G27:G30" si="11">SUM(C27, D27, E27, F27)/10</f>
        <v>0</v>
      </c>
      <c r="J27" s="34">
        <v>1.0</v>
      </c>
      <c r="K27" s="18">
        <f>COUNTIFS(Datasheet!G16:G25,1, Datasheet!N16:N25,1)</f>
        <v>0</v>
      </c>
      <c r="L27" s="18">
        <f>COUNTIFS(Datasheet!G16:G25,1, Datasheet!N16:N25,2)</f>
        <v>0</v>
      </c>
      <c r="M27" s="18">
        <f>COUNTIFS(Datasheet!G16:G25,1, Datasheet!N16:N25,3)</f>
        <v>0</v>
      </c>
      <c r="N27" s="18">
        <f>COUNTIFS(Datasheet!G16:G25,1, Datasheet!N16:N25,4)</f>
        <v>0</v>
      </c>
      <c r="O27" s="18">
        <f t="shared" ref="O27:O30" si="12">SUM(K27, L27, M27, N27)/10</f>
        <v>0</v>
      </c>
      <c r="R27" s="34">
        <v>1.0</v>
      </c>
      <c r="S27" s="18">
        <f>COUNTIFS(Datasheet!H16:H25,1, Datasheet!O16:O25,1)</f>
        <v>0</v>
      </c>
      <c r="T27" s="18">
        <f>COUNTIFS(Datasheet!H16:H25,1, Datasheet!O16:O25,2)</f>
        <v>0</v>
      </c>
      <c r="U27" s="18">
        <f>COUNTIFS(Datasheet!H16:H25,1, Datasheet!O16:O25,3)</f>
        <v>0</v>
      </c>
      <c r="V27" s="18">
        <f>COUNTIFS(Datasheet!H16:H25,1, Datasheet!O16:O25,4)</f>
        <v>0</v>
      </c>
      <c r="W27" s="18">
        <f t="shared" ref="W27:W30" si="13">SUM(S27, T27, U27, V27)/10</f>
        <v>0</v>
      </c>
      <c r="Z27" s="34">
        <v>1.0</v>
      </c>
      <c r="AA27" s="18">
        <f>COUNTIFS(Datasheet!I16:I25,1, Datasheet!P16:P25,1)</f>
        <v>6</v>
      </c>
      <c r="AB27" s="18">
        <f>COUNTIFS(Datasheet!I16:I25,1, Datasheet!P16:P25,2)</f>
        <v>0</v>
      </c>
      <c r="AC27" s="18">
        <f>COUNTIFS(Datasheet!I16:I25,1, Datasheet!P16:P25,3)</f>
        <v>0</v>
      </c>
      <c r="AD27" s="18">
        <f>COUNTIFS(Datasheet!I16:I25,1, Datasheet!P16:P25,4)</f>
        <v>0</v>
      </c>
      <c r="AE27" s="18">
        <f t="shared" ref="AE27:AE30" si="14">SUM(AA27, AB27, AC27, AD27)/10</f>
        <v>0.6</v>
      </c>
      <c r="AH27" s="34">
        <v>1.0</v>
      </c>
      <c r="AI27" s="18">
        <f>COUNTIFS(Datasheet!J16:J25,1, Datasheet!Q16:Q25,1)</f>
        <v>0</v>
      </c>
      <c r="AJ27" s="18">
        <f>COUNTIFS(Datasheet!J16:J25,1, Datasheet!Q16:Q25,2)</f>
        <v>0</v>
      </c>
      <c r="AK27" s="18">
        <f>COUNTIFS(Datasheet!J16:J25,1, Datasheet!Q16:Q25,3)</f>
        <v>0</v>
      </c>
      <c r="AL27" s="18">
        <f>COUNTIFS(Datasheet!J16:J25,1, Datasheet!Q16:Q25,4)</f>
        <v>0</v>
      </c>
      <c r="AM27" s="18">
        <f t="shared" ref="AM27:AM30" si="15">SUM(AI27, AJ27, AK27, AL27)/10</f>
        <v>0</v>
      </c>
    </row>
    <row r="28">
      <c r="A28" s="33" t="s">
        <v>5</v>
      </c>
      <c r="B28" s="34">
        <v>2.0</v>
      </c>
      <c r="C28" s="18">
        <f>COUNTIFS(Datasheet!F16:F25,2, Datasheet!M16:M25,1)</f>
        <v>0</v>
      </c>
      <c r="D28" s="18">
        <f>COUNTIFS(Datasheet!F16:F25,2, Datasheet!M16:M25,2)</f>
        <v>0</v>
      </c>
      <c r="E28" s="18">
        <f>COUNTIFS(Datasheet!F16:F25,2, Datasheet!M16:M25,3)</f>
        <v>0</v>
      </c>
      <c r="F28" s="18">
        <f>COUNTIFS(Datasheet!F16:F25,2, Datasheet!M16:M25,4)</f>
        <v>1</v>
      </c>
      <c r="G28" s="18">
        <f t="shared" si="11"/>
        <v>0.1</v>
      </c>
      <c r="I28" s="33" t="s">
        <v>5</v>
      </c>
      <c r="J28" s="34">
        <v>2.0</v>
      </c>
      <c r="K28" s="18">
        <f>COUNTIFS(Datasheet!G16:G25,2, Datasheet!N16:N25,1)</f>
        <v>0</v>
      </c>
      <c r="L28" s="18">
        <f>COUNTIFS(Datasheet!N16:N25,2, Datasheet!U16:U25,2)</f>
        <v>0</v>
      </c>
      <c r="M28" s="18">
        <f>COUNTIFS(Datasheet!G16:G25,2, Datasheet!N16:N25,3)</f>
        <v>1</v>
      </c>
      <c r="N28" s="18">
        <f>COUNTIFS(Datasheet!G16:G25,2, Datasheet!N16:N25,4)</f>
        <v>0</v>
      </c>
      <c r="O28" s="18">
        <f t="shared" si="12"/>
        <v>0.1</v>
      </c>
      <c r="Q28" s="33" t="s">
        <v>5</v>
      </c>
      <c r="R28" s="34">
        <v>2.0</v>
      </c>
      <c r="S28" s="18">
        <f>COUNTIFS(Datasheet!H16:H25,2, Datasheet!O16:O25,1)</f>
        <v>0</v>
      </c>
      <c r="T28" s="18">
        <f>COUNTIFS(Datasheet!H16:H25,2, Datasheet!O16:O25,2)</f>
        <v>0</v>
      </c>
      <c r="U28" s="18">
        <f>COUNTIFS(Datasheet!H16:H25,2, Datasheet!O16:O25,3)</f>
        <v>0</v>
      </c>
      <c r="V28" s="18">
        <f>COUNTIFS(Datasheet!H16:H25,2, Datasheet!O16:O25,4)</f>
        <v>1</v>
      </c>
      <c r="W28" s="18">
        <f t="shared" si="13"/>
        <v>0.1</v>
      </c>
      <c r="Y28" s="33" t="s">
        <v>5</v>
      </c>
      <c r="Z28" s="34">
        <v>2.0</v>
      </c>
      <c r="AA28" s="18">
        <f>COUNTIFS(Datasheet!I16:I25,2, Datasheet!P16:P25,1)</f>
        <v>2</v>
      </c>
      <c r="AB28" s="18">
        <f>COUNTIFS(Datasheet!I16:I25,2, Datasheet!P16:P25,2)</f>
        <v>2</v>
      </c>
      <c r="AC28" s="18">
        <f>COUNTIFS(Datasheet!I16:I25,2, Datasheet!P16:P25,3)</f>
        <v>0</v>
      </c>
      <c r="AD28" s="18">
        <f>COUNTIFS(Datasheet!I16:I25,2, Datasheet!P16:P25,4)</f>
        <v>0</v>
      </c>
      <c r="AE28" s="18">
        <f t="shared" si="14"/>
        <v>0.4</v>
      </c>
      <c r="AG28" s="33" t="s">
        <v>5</v>
      </c>
      <c r="AH28" s="34">
        <v>2.0</v>
      </c>
      <c r="AI28" s="18">
        <f>COUNTIFS(Datasheet!J16:J25,2, Datasheet!Q16:Q25,1)</f>
        <v>0</v>
      </c>
      <c r="AJ28" s="18">
        <f>COUNTIFS(Datasheet!J16:J25,2, Datasheet!Q16:Q25,2)</f>
        <v>0</v>
      </c>
      <c r="AK28" s="18">
        <f>COUNTIFS(Datasheet!J16:J25,2, Datasheet!Q16:Q25,3)</f>
        <v>0</v>
      </c>
      <c r="AL28" s="18">
        <f>COUNTIFS(Datasheet!J16:J25,2, Datasheet!Q16:Q25,4)</f>
        <v>0</v>
      </c>
      <c r="AM28" s="18">
        <f t="shared" si="15"/>
        <v>0</v>
      </c>
    </row>
    <row r="29">
      <c r="B29" s="34">
        <v>3.0</v>
      </c>
      <c r="C29" s="18">
        <f>COUNTIFS(Datasheet!F16:F25,3, Datasheet!M16:M25,1)</f>
        <v>0</v>
      </c>
      <c r="D29" s="18">
        <f>COUNTIFS(Datasheet!F16:F25,3, Datasheet!M16:M25,2)</f>
        <v>0</v>
      </c>
      <c r="E29" s="18">
        <f>COUNTIFS(Datasheet!F16:F25,3, Datasheet!M16:M25,3)</f>
        <v>4</v>
      </c>
      <c r="F29" s="18">
        <f>COUNTIFS(Datasheet!F16:F25,3, Datasheet!M16:M25,4)</f>
        <v>4</v>
      </c>
      <c r="G29" s="18">
        <f t="shared" si="11"/>
        <v>0.8</v>
      </c>
      <c r="J29" s="34">
        <v>3.0</v>
      </c>
      <c r="K29" s="18">
        <f>COUNTIFS(Datasheet!G16:G25,3, Datasheet!N16:N25,1)</f>
        <v>0</v>
      </c>
      <c r="L29" s="18">
        <f>COUNTIFS(Datasheet!N16:N25,3, Datasheet!U16:U25,2)</f>
        <v>0</v>
      </c>
      <c r="M29" s="18">
        <f>COUNTIFS(Datasheet!G16:G25,3, Datasheet!N16:N25,3)</f>
        <v>0</v>
      </c>
      <c r="N29" s="18">
        <f>COUNTIFS(Datasheet!G16:G25,3, Datasheet!N16:N25,4)</f>
        <v>0</v>
      </c>
      <c r="O29" s="18">
        <f t="shared" si="12"/>
        <v>0</v>
      </c>
      <c r="R29" s="34">
        <v>3.0</v>
      </c>
      <c r="S29" s="18">
        <f>COUNTIFS(Datasheet!H16:H25,3, Datasheet!O16:O25,1)</f>
        <v>0</v>
      </c>
      <c r="T29" s="18">
        <f>COUNTIFS(Datasheet!H16:H25,3, Datasheet!O16:O25,2)</f>
        <v>0</v>
      </c>
      <c r="U29" s="18">
        <f>COUNTIFS(Datasheet!H16:H25,3, Datasheet!O16:O25,3)</f>
        <v>1</v>
      </c>
      <c r="V29" s="18">
        <f>COUNTIFS(Datasheet!H16:H25,3, Datasheet!O16:O25,4)</f>
        <v>4</v>
      </c>
      <c r="W29" s="18">
        <f t="shared" si="13"/>
        <v>0.5</v>
      </c>
      <c r="Z29" s="34">
        <v>3.0</v>
      </c>
      <c r="AA29" s="18">
        <f>COUNTIFS(Datasheet!I16:I25,3, Datasheet!P16:P25,1)</f>
        <v>0</v>
      </c>
      <c r="AB29" s="18">
        <f>COUNTIFS(Datasheet!I16:I25,3, Datasheet!P16:P25,2)</f>
        <v>0</v>
      </c>
      <c r="AC29" s="18">
        <f>COUNTIFS(Datasheet!I16:I25,3, Datasheet!P16:P25,3)</f>
        <v>0</v>
      </c>
      <c r="AD29" s="18">
        <f>COUNTIFS(Datasheet!I16:I25,3, Datasheet!P16:P25,4)</f>
        <v>0</v>
      </c>
      <c r="AE29" s="18">
        <f t="shared" si="14"/>
        <v>0</v>
      </c>
      <c r="AH29" s="34">
        <v>3.0</v>
      </c>
      <c r="AI29" s="18">
        <f>COUNTIFS(Datasheet!J16:J25,3, Datasheet!Q16:Q25,1)</f>
        <v>0</v>
      </c>
      <c r="AJ29" s="18">
        <f>COUNTIFS(Datasheet!J16:J25,3, Datasheet!Q16:Q25,2)</f>
        <v>0</v>
      </c>
      <c r="AK29" s="18">
        <f>COUNTIFS(Datasheet!J16:J25,3, Datasheet!Q16:Q25,3)</f>
        <v>0</v>
      </c>
      <c r="AL29" s="18">
        <f>COUNTIFS(Datasheet!J16:J25,3, Datasheet!Q16:Q25,4)</f>
        <v>5</v>
      </c>
      <c r="AM29" s="18">
        <f t="shared" si="15"/>
        <v>0.5</v>
      </c>
    </row>
    <row r="30">
      <c r="B30" s="34">
        <v>4.0</v>
      </c>
      <c r="C30" s="18">
        <f>COUNTIFS(Datasheet!F16:F25,4, Datasheet!M16:M25,1)</f>
        <v>0</v>
      </c>
      <c r="D30" s="18">
        <f>COUNTIFS(Datasheet!F16:F25,4, Datasheet!M16:M25,2)</f>
        <v>0</v>
      </c>
      <c r="E30" s="18">
        <f>COUNTIFS(Datasheet!F16:F25,4, Datasheet!M16:M25,3)</f>
        <v>0</v>
      </c>
      <c r="F30" s="18">
        <f>COUNTIFS(Datasheet!F16:F25,4, Datasheet!M16:M25,4)</f>
        <v>1</v>
      </c>
      <c r="G30" s="18">
        <f t="shared" si="11"/>
        <v>0.1</v>
      </c>
      <c r="J30" s="34">
        <v>4.0</v>
      </c>
      <c r="K30" s="18">
        <f>COUNTIFS(Datasheet!G16:G25,4, Datasheet!N16:N25,1)</f>
        <v>0</v>
      </c>
      <c r="L30" s="18">
        <f>COUNTIFS(Datasheet!N16:N25,4, Datasheet!U16:U25,2)</f>
        <v>0</v>
      </c>
      <c r="M30" s="18">
        <f>COUNTIFS(Datasheet!G16:G25,4, Datasheet!N16:N25,3)</f>
        <v>3</v>
      </c>
      <c r="N30" s="18">
        <f>COUNTIFS(Datasheet!G16:G25,4, Datasheet!N16:N25,4)</f>
        <v>0</v>
      </c>
      <c r="O30" s="18">
        <f t="shared" si="12"/>
        <v>0.3</v>
      </c>
      <c r="R30" s="34">
        <v>4.0</v>
      </c>
      <c r="S30" s="18">
        <f>COUNTIFS(Datasheet!H16:H25,4, Datasheet!O16:O25,1)</f>
        <v>0</v>
      </c>
      <c r="T30" s="18">
        <f>COUNTIFS(Datasheet!H16:H25,4, Datasheet!O16:O25,2)</f>
        <v>0</v>
      </c>
      <c r="U30" s="18">
        <f>COUNTIFS(Datasheet!H16:H25,4, Datasheet!O16:O25,3)</f>
        <v>0</v>
      </c>
      <c r="V30" s="18">
        <f>COUNTIFS(Datasheet!H16:H25,4, Datasheet!O16:O25,4)</f>
        <v>4</v>
      </c>
      <c r="W30" s="18">
        <f t="shared" si="13"/>
        <v>0.4</v>
      </c>
      <c r="Z30" s="34">
        <v>4.0</v>
      </c>
      <c r="AA30" s="18">
        <f>COUNTIFS(Datasheet!I16:I25,4, Datasheet!P16:P25,1)</f>
        <v>0</v>
      </c>
      <c r="AB30" s="18">
        <f>COUNTIFS(Datasheet!I16:I25,4, Datasheet!P16:P25,2)</f>
        <v>0</v>
      </c>
      <c r="AC30" s="18">
        <f>COUNTIFS(Datasheet!I16:I25,4, Datasheet!P16:P25,3)</f>
        <v>0</v>
      </c>
      <c r="AD30" s="18">
        <f>COUNTIFS(Datasheet!I16:I25,4, Datasheet!P16:P25,4)</f>
        <v>0</v>
      </c>
      <c r="AE30" s="18">
        <f t="shared" si="14"/>
        <v>0</v>
      </c>
      <c r="AH30" s="34">
        <v>4.0</v>
      </c>
      <c r="AI30" s="18">
        <f>COUNTIFS(Datasheet!J16:J25,4, Datasheet!Q16:Q25,1)</f>
        <v>0</v>
      </c>
      <c r="AJ30" s="18">
        <f>COUNTIFS(Datasheet!J16:J25,4, Datasheet!Q16:Q25,2)</f>
        <v>0</v>
      </c>
      <c r="AK30" s="18">
        <f>COUNTIFS(Datasheet!J16:J25,4, Datasheet!Q16:Q25,3)</f>
        <v>0</v>
      </c>
      <c r="AL30" s="18">
        <f>COUNTIFS(Datasheet!J16:J25,4, Datasheet!Q16:Q25,4)</f>
        <v>5</v>
      </c>
      <c r="AM30" s="18">
        <f t="shared" si="15"/>
        <v>0.5</v>
      </c>
    </row>
    <row r="31">
      <c r="B31" s="16" t="s">
        <v>297</v>
      </c>
      <c r="C31" s="18">
        <f t="shared" ref="C31:F31" si="16">SUM(C27:C30)/10</f>
        <v>0</v>
      </c>
      <c r="D31" s="18">
        <f t="shared" si="16"/>
        <v>0</v>
      </c>
      <c r="E31" s="18">
        <f t="shared" si="16"/>
        <v>0.4</v>
      </c>
      <c r="F31" s="18">
        <f t="shared" si="16"/>
        <v>0.6</v>
      </c>
      <c r="G31" s="18">
        <f>SUM(G27:G30)</f>
        <v>1</v>
      </c>
      <c r="J31" s="16" t="s">
        <v>297</v>
      </c>
      <c r="K31" s="18">
        <f t="shared" ref="K31:N31" si="17">SUM(K27:K30)/10</f>
        <v>0</v>
      </c>
      <c r="L31" s="18">
        <f t="shared" si="17"/>
        <v>0</v>
      </c>
      <c r="M31" s="18">
        <f t="shared" si="17"/>
        <v>0.4</v>
      </c>
      <c r="N31" s="18">
        <f t="shared" si="17"/>
        <v>0</v>
      </c>
      <c r="O31" s="18">
        <f>SUM(O27:O30)</f>
        <v>0.4</v>
      </c>
      <c r="R31" s="16" t="s">
        <v>297</v>
      </c>
      <c r="S31" s="18">
        <f t="shared" ref="S31:V31" si="18">SUM(S27:S30)/10</f>
        <v>0</v>
      </c>
      <c r="T31" s="18">
        <f t="shared" si="18"/>
        <v>0</v>
      </c>
      <c r="U31" s="18">
        <f t="shared" si="18"/>
        <v>0.1</v>
      </c>
      <c r="V31" s="18">
        <f t="shared" si="18"/>
        <v>0.9</v>
      </c>
      <c r="W31" s="18">
        <f>SUM(W27:W30)</f>
        <v>1</v>
      </c>
      <c r="Z31" s="16" t="s">
        <v>297</v>
      </c>
      <c r="AA31" s="18">
        <f t="shared" ref="AA31:AD31" si="19">SUM(AA27:AA30)/10</f>
        <v>0.8</v>
      </c>
      <c r="AB31" s="18">
        <f t="shared" si="19"/>
        <v>0.2</v>
      </c>
      <c r="AC31" s="18">
        <f t="shared" si="19"/>
        <v>0</v>
      </c>
      <c r="AD31" s="18">
        <f t="shared" si="19"/>
        <v>0</v>
      </c>
      <c r="AE31" s="18">
        <f>SUM(AE27:AE30)</f>
        <v>1</v>
      </c>
      <c r="AH31" s="16" t="s">
        <v>297</v>
      </c>
      <c r="AI31" s="18">
        <f t="shared" ref="AI31:AL31" si="20">SUM(AI27:AI30)/10</f>
        <v>0</v>
      </c>
      <c r="AJ31" s="18">
        <f t="shared" si="20"/>
        <v>0</v>
      </c>
      <c r="AK31" s="18">
        <f t="shared" si="20"/>
        <v>0</v>
      </c>
      <c r="AL31" s="18">
        <f t="shared" si="20"/>
        <v>1</v>
      </c>
      <c r="AM31" s="18">
        <f>SUM(AM27:AM30)</f>
        <v>1</v>
      </c>
    </row>
    <row r="33">
      <c r="A33" s="1" t="s">
        <v>298</v>
      </c>
      <c r="C33" s="15">
        <f>(G27*C31)*10</f>
        <v>0</v>
      </c>
      <c r="D33" s="15">
        <f>(G27*D31)*10</f>
        <v>0</v>
      </c>
      <c r="E33" s="15">
        <f>(G27*E31)*10</f>
        <v>0</v>
      </c>
      <c r="F33" s="15">
        <f>(G27*F31)*10</f>
        <v>0</v>
      </c>
      <c r="I33" s="1" t="s">
        <v>298</v>
      </c>
      <c r="K33" s="15">
        <f>(O27*K31)*10</f>
        <v>0</v>
      </c>
      <c r="L33" s="15">
        <f>(O27*L31)*10</f>
        <v>0</v>
      </c>
      <c r="M33" s="15">
        <f>(O27*M31)*10</f>
        <v>0</v>
      </c>
      <c r="N33" s="15">
        <f>(O27*N31)*10</f>
        <v>0</v>
      </c>
      <c r="Q33" s="1" t="s">
        <v>298</v>
      </c>
      <c r="S33" s="15">
        <f>(W27*S31)*10</f>
        <v>0</v>
      </c>
      <c r="T33" s="15">
        <f>(W27*T31)*10</f>
        <v>0</v>
      </c>
      <c r="U33" s="15">
        <f>(W27*U31)*10</f>
        <v>0</v>
      </c>
      <c r="V33" s="15">
        <f>(W27*V31)*10</f>
        <v>0</v>
      </c>
      <c r="Y33" s="1" t="s">
        <v>298</v>
      </c>
      <c r="AA33" s="15">
        <f>(AE27*AA31)*10</f>
        <v>4.8</v>
      </c>
      <c r="AB33" s="15">
        <f>(AE27*AB31)*10</f>
        <v>1.2</v>
      </c>
      <c r="AC33" s="15">
        <f>(AE27*AC31)*10</f>
        <v>0</v>
      </c>
      <c r="AD33" s="15">
        <f>(AE27*AD31)*10</f>
        <v>0</v>
      </c>
      <c r="AG33" s="1" t="s">
        <v>298</v>
      </c>
      <c r="AI33" s="15">
        <f>(AM27*AI31)*10</f>
        <v>0</v>
      </c>
      <c r="AJ33" s="15">
        <f>(AM27*AJ31)*10</f>
        <v>0</v>
      </c>
      <c r="AK33" s="15">
        <f>(AM27*AK31)*10</f>
        <v>0</v>
      </c>
      <c r="AL33" s="15">
        <f>(AM27*AL31)*10</f>
        <v>0</v>
      </c>
    </row>
    <row r="34">
      <c r="C34" s="15">
        <f>(G28*C31)*10</f>
        <v>0</v>
      </c>
      <c r="D34" s="15">
        <f>(G28*D31)*10</f>
        <v>0</v>
      </c>
      <c r="E34" s="15">
        <f>(G28*E31)*10</f>
        <v>0.4</v>
      </c>
      <c r="F34" s="15">
        <f>(G28*F31)*10</f>
        <v>0.6</v>
      </c>
      <c r="K34" s="15">
        <f>(O28*K31)*10</f>
        <v>0</v>
      </c>
      <c r="L34" s="15">
        <f>(O28*L31)*10</f>
        <v>0</v>
      </c>
      <c r="M34" s="15">
        <f>(O28*M31)*10</f>
        <v>0.4</v>
      </c>
      <c r="N34" s="15">
        <f>(O28*N31)*10</f>
        <v>0</v>
      </c>
      <c r="S34" s="15">
        <f>(W28*S31)*10</f>
        <v>0</v>
      </c>
      <c r="T34" s="15">
        <f>(W28*T31)*10</f>
        <v>0</v>
      </c>
      <c r="U34" s="15">
        <f>(W28*U31)*10</f>
        <v>0.1</v>
      </c>
      <c r="V34" s="15">
        <f>(W28*V31)*10</f>
        <v>0.9</v>
      </c>
      <c r="AA34" s="15">
        <f>(AE28*AA31)*10</f>
        <v>3.2</v>
      </c>
      <c r="AB34" s="15">
        <f>(AE28*AB31)*10</f>
        <v>0.8</v>
      </c>
      <c r="AC34" s="15">
        <f>(AE28*AC31)*10</f>
        <v>0</v>
      </c>
      <c r="AD34" s="15">
        <f>(AE28*AD31)*10</f>
        <v>0</v>
      </c>
      <c r="AI34" s="15">
        <f>(AM28*AI31)*10</f>
        <v>0</v>
      </c>
      <c r="AJ34" s="15">
        <f>(AM28*AJ31)*10</f>
        <v>0</v>
      </c>
      <c r="AK34" s="15">
        <f>(AM28*AK31)*10</f>
        <v>0</v>
      </c>
      <c r="AL34" s="15">
        <f>(AM28*AL31)*10</f>
        <v>0</v>
      </c>
    </row>
    <row r="35">
      <c r="C35" s="15">
        <f>(G29*C31)*10</f>
        <v>0</v>
      </c>
      <c r="D35" s="15">
        <f>(G29*D31)*10</f>
        <v>0</v>
      </c>
      <c r="E35" s="15">
        <f>(G29*E31)*10</f>
        <v>3.2</v>
      </c>
      <c r="F35" s="15">
        <f>(G29*F31)*10</f>
        <v>4.8</v>
      </c>
      <c r="K35" s="15">
        <f>(O29*K31)*10</f>
        <v>0</v>
      </c>
      <c r="L35" s="15">
        <f>(O29*L31)*10</f>
        <v>0</v>
      </c>
      <c r="M35" s="15">
        <f>(O29*M31)*10</f>
        <v>0</v>
      </c>
      <c r="N35" s="15">
        <f>(O29*N31)*10</f>
        <v>0</v>
      </c>
      <c r="S35" s="15">
        <f>(W29*S31)*10</f>
        <v>0</v>
      </c>
      <c r="T35" s="15">
        <f>(W29*T31)*10</f>
        <v>0</v>
      </c>
      <c r="U35" s="15">
        <f>(W29*U31)*10</f>
        <v>0.5</v>
      </c>
      <c r="V35" s="15">
        <f>(W29*V31)*10</f>
        <v>4.5</v>
      </c>
      <c r="AA35" s="15">
        <f>(AE29*AA31)*10</f>
        <v>0</v>
      </c>
      <c r="AB35" s="15">
        <f>(AE29*AB31)*10</f>
        <v>0</v>
      </c>
      <c r="AC35" s="15">
        <f>(AE29*AC31)*10</f>
        <v>0</v>
      </c>
      <c r="AD35" s="15">
        <f>(AE29*AD31)*10</f>
        <v>0</v>
      </c>
      <c r="AI35" s="15">
        <f>(AM29*AI31)*10</f>
        <v>0</v>
      </c>
      <c r="AJ35" s="15">
        <f>(AM29*AJ31)*10</f>
        <v>0</v>
      </c>
      <c r="AK35" s="15">
        <f>(AM29*AK31)*10</f>
        <v>0</v>
      </c>
      <c r="AL35" s="15">
        <f>(AM29*AL31)*10</f>
        <v>5</v>
      </c>
    </row>
    <row r="36">
      <c r="C36" s="15">
        <f>(G30*C31)*10</f>
        <v>0</v>
      </c>
      <c r="D36" s="15">
        <f>(G30*D31)*10</f>
        <v>0</v>
      </c>
      <c r="E36" s="15">
        <f>(G30*E31)*10</f>
        <v>0.4</v>
      </c>
      <c r="F36" s="15">
        <f>(G30*F31)*10</f>
        <v>0.6</v>
      </c>
      <c r="K36" s="15">
        <f>(O30*K31)*10</f>
        <v>0</v>
      </c>
      <c r="L36" s="15">
        <f>(O30*L31)*10</f>
        <v>0</v>
      </c>
      <c r="M36" s="15">
        <f>(O30*M31)*10</f>
        <v>1.2</v>
      </c>
      <c r="N36" s="15">
        <f>(O30*N31)*10</f>
        <v>0</v>
      </c>
      <c r="S36" s="15">
        <f>(W30*S31)*10</f>
        <v>0</v>
      </c>
      <c r="T36" s="15">
        <f>(W30*T31)*10</f>
        <v>0</v>
      </c>
      <c r="U36" s="15">
        <f>(W30*U31)*10</f>
        <v>0.4</v>
      </c>
      <c r="V36" s="15">
        <f>(W30*V31)*10</f>
        <v>3.6</v>
      </c>
      <c r="AA36" s="15">
        <f>(AE30*AA31)*10</f>
        <v>0</v>
      </c>
      <c r="AB36" s="15">
        <f>(AE30*AB31)*10</f>
        <v>0</v>
      </c>
      <c r="AC36" s="15">
        <f>(AE30*AC31)*10</f>
        <v>0</v>
      </c>
      <c r="AD36" s="15">
        <f>(AE30*AD31)*10</f>
        <v>0</v>
      </c>
      <c r="AI36" s="15">
        <f>(AM30*AI31)*10</f>
        <v>0</v>
      </c>
      <c r="AJ36" s="15">
        <f>(AM30*AJ31)*10</f>
        <v>0</v>
      </c>
      <c r="AK36" s="15">
        <f>(AM30*AK31)*10</f>
        <v>0</v>
      </c>
      <c r="AL36" s="15">
        <f>(AM30*AL31)*10</f>
        <v>5</v>
      </c>
    </row>
    <row r="38">
      <c r="A38" s="1" t="s">
        <v>299</v>
      </c>
      <c r="C38" s="35">
        <f>((B27-C26)^2)/((4-1)^2)</f>
        <v>0</v>
      </c>
      <c r="D38" s="15">
        <f>((B27-D26)^2)/((4-1)^2)</f>
        <v>0.1111111111</v>
      </c>
      <c r="E38" s="15">
        <f>((B27-E26)^2)/((4-1)^2)</f>
        <v>0.4444444444</v>
      </c>
      <c r="F38" s="18">
        <f>((B27-F26)^2)/((4-1)^2)</f>
        <v>1</v>
      </c>
      <c r="I38" s="1" t="s">
        <v>299</v>
      </c>
      <c r="K38" s="35">
        <f>((J27-K26)^2)/((4-1)^2)</f>
        <v>0</v>
      </c>
      <c r="L38" s="15">
        <f>((J27-L26)^2)/((4-1)^2)</f>
        <v>0.1111111111</v>
      </c>
      <c r="M38" s="15">
        <f>((J27-M26)^2)/((4-1)^2)</f>
        <v>0.4444444444</v>
      </c>
      <c r="N38" s="18">
        <f>((J27-N26)^2)/((4-1)^2)</f>
        <v>1</v>
      </c>
      <c r="Q38" s="1" t="s">
        <v>299</v>
      </c>
      <c r="S38" s="35">
        <f>((R27-S26)^2)/((4-1)^2)</f>
        <v>0</v>
      </c>
      <c r="T38" s="15">
        <f>((R27-T26)^2)/((4-1)^2)</f>
        <v>0.1111111111</v>
      </c>
      <c r="U38" s="15">
        <f>((R27-U26)^2)/((4-1)^2)</f>
        <v>0.4444444444</v>
      </c>
      <c r="V38" s="18">
        <f>((R27-V26)^2)/((4-1)^2)</f>
        <v>1</v>
      </c>
      <c r="Y38" s="1" t="s">
        <v>299</v>
      </c>
      <c r="AA38" s="35">
        <f>((Z27-AA26)^2)/((4-1)^2)</f>
        <v>0</v>
      </c>
      <c r="AB38" s="15">
        <f>((Z27-AB26)^2)/((4-1)^2)</f>
        <v>0.1111111111</v>
      </c>
      <c r="AC38" s="15">
        <f>((Z27-AC26)^2)/((4-1)^2)</f>
        <v>0.4444444444</v>
      </c>
      <c r="AD38" s="18">
        <f>((Z27-AD26)^2)/((4-1)^2)</f>
        <v>1</v>
      </c>
      <c r="AG38" s="1" t="s">
        <v>299</v>
      </c>
      <c r="AI38" s="35">
        <f>((AH27-AI26)^2)/((4-1)^2)</f>
        <v>0</v>
      </c>
      <c r="AJ38" s="15">
        <f>((AH27-AJ26)^2)/((4-1)^2)</f>
        <v>0.1111111111</v>
      </c>
      <c r="AK38" s="15">
        <f>((AH27-AK26)^2)/((4-1)^2)</f>
        <v>0.4444444444</v>
      </c>
      <c r="AL38" s="18">
        <f>((AH27-AL26)^2)/((4-1)^2)</f>
        <v>1</v>
      </c>
    </row>
    <row r="39">
      <c r="C39" s="15">
        <f>((B28-C26)^2)/((4-1)^2)</f>
        <v>0.1111111111</v>
      </c>
      <c r="D39" s="18">
        <f>((B28-D26)^2)/((4-1)^2)</f>
        <v>0</v>
      </c>
      <c r="E39" s="15">
        <f>((B28-E26)^2)/((4-1)^2)</f>
        <v>0.1111111111</v>
      </c>
      <c r="F39" s="15">
        <f>((B28-F26)^2)/((4-1)^2)</f>
        <v>0.4444444444</v>
      </c>
      <c r="K39" s="15">
        <f>((J28-K26)^2)/((4-1)^2)</f>
        <v>0.1111111111</v>
      </c>
      <c r="L39" s="18">
        <f>((J28-L26)^2)/((4-1)^2)</f>
        <v>0</v>
      </c>
      <c r="M39" s="15">
        <f>((J28-M26)^2)/((4-1)^2)</f>
        <v>0.1111111111</v>
      </c>
      <c r="N39" s="15">
        <f>((J28-N26)^2)/((4-1)^2)</f>
        <v>0.4444444444</v>
      </c>
      <c r="S39" s="15">
        <f>((R28-S26)^2)/((4-1)^2)</f>
        <v>0.1111111111</v>
      </c>
      <c r="T39" s="18">
        <f>((R28-T26)^2)/((4-1)^2)</f>
        <v>0</v>
      </c>
      <c r="U39" s="15">
        <f>((R28-U26)^2)/((4-1)^2)</f>
        <v>0.1111111111</v>
      </c>
      <c r="V39" s="15">
        <f>((R28-V26)^2)/((4-1)^2)</f>
        <v>0.4444444444</v>
      </c>
      <c r="AA39" s="15">
        <f>((Z28-AA26)^2)/((4-1)^2)</f>
        <v>0.1111111111</v>
      </c>
      <c r="AB39" s="18">
        <f>((Z28-AB26)^2)/((4-1)^2)</f>
        <v>0</v>
      </c>
      <c r="AC39" s="15">
        <f>((Z28-AC26)^2)/((4-1)^2)</f>
        <v>0.1111111111</v>
      </c>
      <c r="AD39" s="15">
        <f>((Z28-AD26)^2)/((4-1)^2)</f>
        <v>0.4444444444</v>
      </c>
      <c r="AI39" s="15">
        <f>((AH28-AI26)^2)/((4-1)^2)</f>
        <v>0.1111111111</v>
      </c>
      <c r="AJ39" s="18">
        <f>((AH28-AJ26)^2)/((4-1)^2)</f>
        <v>0</v>
      </c>
      <c r="AK39" s="15">
        <f>((AH28-AK26)^2)/((4-1)^2)</f>
        <v>0.1111111111</v>
      </c>
      <c r="AL39" s="15">
        <f>((AH28-AL26)^2)/((4-1)^2)</f>
        <v>0.4444444444</v>
      </c>
    </row>
    <row r="40">
      <c r="C40" s="15">
        <f>((B29-C26)^2)/((4-1)^2)</f>
        <v>0.4444444444</v>
      </c>
      <c r="D40" s="15">
        <f>((B29-D26)^2)/((4-1)^2)</f>
        <v>0.1111111111</v>
      </c>
      <c r="E40" s="18">
        <f>((B29-E26)^2)/((4-1)^2)</f>
        <v>0</v>
      </c>
      <c r="F40" s="15">
        <f>((B29-F26)^2)/((4-1)^2)</f>
        <v>0.1111111111</v>
      </c>
      <c r="K40" s="15">
        <f>((J29-K26)^2)/((4-1)^2)</f>
        <v>0.4444444444</v>
      </c>
      <c r="L40" s="15">
        <f>((J29-L26)^2)/((4-1)^2)</f>
        <v>0.1111111111</v>
      </c>
      <c r="M40" s="18">
        <f>((J29-M26)^2)/((4-1)^2)</f>
        <v>0</v>
      </c>
      <c r="N40" s="15">
        <f>((J29-N26)^2)/((4-1)^2)</f>
        <v>0.1111111111</v>
      </c>
      <c r="S40" s="15">
        <f>((R29-S26)^2)/((4-1)^2)</f>
        <v>0.4444444444</v>
      </c>
      <c r="T40" s="15">
        <f>((R29-T26)^2)/((4-1)^2)</f>
        <v>0.1111111111</v>
      </c>
      <c r="U40" s="18">
        <f>((R29-U26)^2)/((4-1)^2)</f>
        <v>0</v>
      </c>
      <c r="V40" s="15">
        <f>((R29-V26)^2)/((4-1)^2)</f>
        <v>0.1111111111</v>
      </c>
      <c r="AA40" s="15">
        <f>((Z29-AA26)^2)/((4-1)^2)</f>
        <v>0.4444444444</v>
      </c>
      <c r="AB40" s="15">
        <f>((Z29-AB26)^2)/((4-1)^2)</f>
        <v>0.1111111111</v>
      </c>
      <c r="AC40" s="18">
        <f>((Z29-AC26)^2)/((4-1)^2)</f>
        <v>0</v>
      </c>
      <c r="AD40" s="15">
        <f>((Z29-AD26)^2)/((4-1)^2)</f>
        <v>0.1111111111</v>
      </c>
      <c r="AI40" s="15">
        <f>((AH29-AI26)^2)/((4-1)^2)</f>
        <v>0.4444444444</v>
      </c>
      <c r="AJ40" s="15">
        <f>((AH29-AJ26)^2)/((4-1)^2)</f>
        <v>0.1111111111</v>
      </c>
      <c r="AK40" s="18">
        <f>((AH29-AK26)^2)/((4-1)^2)</f>
        <v>0</v>
      </c>
      <c r="AL40" s="15">
        <f>((AH29-AL26)^2)/((4-1)^2)</f>
        <v>0.1111111111</v>
      </c>
    </row>
    <row r="41">
      <c r="C41" s="36">
        <f>((B30-C26)^2)/((4-1)^2)</f>
        <v>1</v>
      </c>
      <c r="D41" s="15">
        <f>((B30-D26)^2)/((4-1)^2)</f>
        <v>0.4444444444</v>
      </c>
      <c r="E41" s="15">
        <f>((B30-E26)^2)/((4-1)^2)</f>
        <v>0.1111111111</v>
      </c>
      <c r="F41" s="18">
        <f>((B30-F26)^2)/((4-1)^2)</f>
        <v>0</v>
      </c>
      <c r="K41" s="36">
        <f>((J30-K26)^2)/((4-1)^2)</f>
        <v>1</v>
      </c>
      <c r="L41" s="15">
        <f>((J30-L26)^2)/((4-1)^2)</f>
        <v>0.4444444444</v>
      </c>
      <c r="M41" s="15">
        <f>((J30-M26)^2)/((4-1)^2)</f>
        <v>0.1111111111</v>
      </c>
      <c r="N41" s="18">
        <f>((J30-N26)^2)/((4-1)^2)</f>
        <v>0</v>
      </c>
      <c r="S41" s="36">
        <f>((R30-S26)^2)/((4-1)^2)</f>
        <v>1</v>
      </c>
      <c r="T41" s="15">
        <f>((R30-T26)^2)/((4-1)^2)</f>
        <v>0.4444444444</v>
      </c>
      <c r="U41" s="15">
        <f>((R30-U26)^2)/((4-1)^2)</f>
        <v>0.1111111111</v>
      </c>
      <c r="V41" s="18">
        <f>((R30-V26)^2)/((4-1)^2)</f>
        <v>0</v>
      </c>
      <c r="AA41" s="36">
        <f>((Z30-AA26)^2)/((4-1)^2)</f>
        <v>1</v>
      </c>
      <c r="AB41" s="15">
        <f>((Z30-AB26)^2)/((4-1)^2)</f>
        <v>0.4444444444</v>
      </c>
      <c r="AC41" s="15">
        <f>((Z30-AC26)^2)/((4-1)^2)</f>
        <v>0.1111111111</v>
      </c>
      <c r="AD41" s="18">
        <f>((Z30-AD26)^2)/((4-1)^2)</f>
        <v>0</v>
      </c>
      <c r="AI41" s="36">
        <f>((AH30-AI26)^2)/((4-1)^2)</f>
        <v>1</v>
      </c>
      <c r="AJ41" s="15">
        <f>((AH30-AJ26)^2)/((4-1)^2)</f>
        <v>0.4444444444</v>
      </c>
      <c r="AK41" s="15">
        <f>((AH30-AK26)^2)/((4-1)^2)</f>
        <v>0.1111111111</v>
      </c>
      <c r="AL41" s="18">
        <f>((AH30-AL26)^2)/((4-1)^2)</f>
        <v>0</v>
      </c>
    </row>
    <row r="43">
      <c r="A43" s="1" t="s">
        <v>300</v>
      </c>
      <c r="B43" s="38">
        <f>1-SUMPRODUCT(C27:F30,C38:F41)/SUMPRODUCT(C33:F36,C38:F41)</f>
        <v>0</v>
      </c>
      <c r="I43" s="1" t="s">
        <v>300</v>
      </c>
      <c r="J43" s="38">
        <f>1-SUMPRODUCT(K27:N30,K38:N41)/SUMPRODUCT(K33:N36,K38:N41)</f>
        <v>-1.5</v>
      </c>
      <c r="Q43" s="1" t="s">
        <v>300</v>
      </c>
      <c r="R43" s="38">
        <f>1-SUMPRODUCT(S27:V30,S38:V41)/SUMPRODUCT(S33:V36,S38:V41)</f>
        <v>0.06976744186</v>
      </c>
      <c r="Y43" s="1" t="s">
        <v>300</v>
      </c>
      <c r="Z43" s="38">
        <f>1-SUMPRODUCT(AA27:AD30,AA38:AD41)/SUMPRODUCT(AA33:AD36,AA38:AD41)</f>
        <v>0.5454545455</v>
      </c>
      <c r="AG43" s="1" t="s">
        <v>300</v>
      </c>
      <c r="AH43" s="38">
        <f>1-SUMPRODUCT(AI27:AL30,AI38:AL41)/SUMPRODUCT(AI33:AL36,AI38:AL41)</f>
        <v>0</v>
      </c>
    </row>
    <row r="46">
      <c r="A46" s="31" t="s">
        <v>138</v>
      </c>
      <c r="B46" s="32"/>
      <c r="C46" s="32"/>
      <c r="D46" s="32"/>
      <c r="E46" s="32"/>
      <c r="F46" s="32"/>
      <c r="G46" s="32"/>
      <c r="H46" s="32"/>
      <c r="I46" s="31" t="s">
        <v>138</v>
      </c>
      <c r="J46" s="32"/>
      <c r="K46" s="32"/>
      <c r="L46" s="32"/>
      <c r="M46" s="32"/>
      <c r="N46" s="32"/>
      <c r="O46" s="32"/>
      <c r="P46" s="32"/>
      <c r="Q46" s="31" t="s">
        <v>138</v>
      </c>
      <c r="R46" s="32"/>
      <c r="S46" s="32"/>
      <c r="T46" s="32"/>
      <c r="U46" s="32"/>
      <c r="V46" s="32"/>
      <c r="W46" s="32"/>
      <c r="X46" s="32"/>
      <c r="Y46" s="31" t="s">
        <v>138</v>
      </c>
      <c r="Z46" s="32"/>
      <c r="AA46" s="32"/>
      <c r="AB46" s="32"/>
      <c r="AC46" s="32"/>
      <c r="AD46" s="32"/>
      <c r="AE46" s="32"/>
      <c r="AF46" s="32"/>
      <c r="AG46" s="31" t="s">
        <v>138</v>
      </c>
      <c r="AH46" s="32"/>
      <c r="AI46" s="32"/>
      <c r="AJ46" s="32"/>
      <c r="AK46" s="32"/>
      <c r="AL46" s="32"/>
      <c r="AM46" s="32"/>
    </row>
    <row r="47">
      <c r="D47" s="2" t="s">
        <v>11</v>
      </c>
      <c r="L47" s="2" t="s">
        <v>12</v>
      </c>
      <c r="T47" s="2" t="s">
        <v>13</v>
      </c>
      <c r="AB47" s="2" t="s">
        <v>14</v>
      </c>
      <c r="AJ47" s="2" t="s">
        <v>15</v>
      </c>
    </row>
    <row r="48">
      <c r="A48" s="1" t="s">
        <v>296</v>
      </c>
      <c r="D48" s="33" t="s">
        <v>6</v>
      </c>
      <c r="I48" s="1" t="s">
        <v>296</v>
      </c>
      <c r="L48" s="33" t="s">
        <v>6</v>
      </c>
      <c r="Q48" s="1" t="s">
        <v>296</v>
      </c>
      <c r="T48" s="33" t="s">
        <v>6</v>
      </c>
      <c r="Y48" s="1" t="s">
        <v>296</v>
      </c>
      <c r="AB48" s="33" t="s">
        <v>6</v>
      </c>
      <c r="AG48" s="1" t="s">
        <v>296</v>
      </c>
      <c r="AJ48" s="33" t="s">
        <v>6</v>
      </c>
    </row>
    <row r="49">
      <c r="B49" s="18"/>
      <c r="C49" s="34">
        <v>1.0</v>
      </c>
      <c r="D49" s="34">
        <v>2.0</v>
      </c>
      <c r="E49" s="34">
        <v>3.0</v>
      </c>
      <c r="F49" s="34">
        <v>4.0</v>
      </c>
      <c r="G49" s="16" t="s">
        <v>297</v>
      </c>
      <c r="J49" s="18"/>
      <c r="K49" s="34">
        <v>1.0</v>
      </c>
      <c r="L49" s="34">
        <v>2.0</v>
      </c>
      <c r="M49" s="34">
        <v>3.0</v>
      </c>
      <c r="N49" s="34">
        <v>4.0</v>
      </c>
      <c r="O49" s="16" t="s">
        <v>297</v>
      </c>
      <c r="R49" s="18"/>
      <c r="S49" s="34">
        <v>1.0</v>
      </c>
      <c r="T49" s="34">
        <v>2.0</v>
      </c>
      <c r="U49" s="34">
        <v>3.0</v>
      </c>
      <c r="V49" s="34">
        <v>4.0</v>
      </c>
      <c r="W49" s="16" t="s">
        <v>297</v>
      </c>
      <c r="Z49" s="18"/>
      <c r="AA49" s="34">
        <v>1.0</v>
      </c>
      <c r="AB49" s="34">
        <v>2.0</v>
      </c>
      <c r="AC49" s="34">
        <v>3.0</v>
      </c>
      <c r="AD49" s="34">
        <v>4.0</v>
      </c>
      <c r="AE49" s="16" t="s">
        <v>297</v>
      </c>
      <c r="AH49" s="18"/>
      <c r="AI49" s="34">
        <v>1.0</v>
      </c>
      <c r="AJ49" s="34">
        <v>2.0</v>
      </c>
      <c r="AK49" s="34">
        <v>3.0</v>
      </c>
      <c r="AL49" s="34">
        <v>4.0</v>
      </c>
      <c r="AM49" s="16" t="s">
        <v>297</v>
      </c>
    </row>
    <row r="50">
      <c r="B50" s="34">
        <v>1.0</v>
      </c>
      <c r="C50" s="18">
        <f>COUNTIFS(Datasheet!F27:F36,1, Datasheet!M27:M36,1)</f>
        <v>0</v>
      </c>
      <c r="D50" s="18">
        <f>COUNTIFS(Datasheet!F27:F36,1, Datasheet!M27:M36,2)</f>
        <v>0</v>
      </c>
      <c r="E50" s="18">
        <f>COUNTIFS(Datasheet!F27:F36,1, Datasheet!M27:M36,3)</f>
        <v>0</v>
      </c>
      <c r="F50" s="18">
        <f>COUNTIFS(Datasheet!F27:F36,1, Datasheet!M27:M36,4)</f>
        <v>0</v>
      </c>
      <c r="G50" s="18">
        <f t="shared" ref="G50:G53" si="21">SUM(C50, D50, E50, F50)/10</f>
        <v>0</v>
      </c>
      <c r="J50" s="34">
        <v>1.0</v>
      </c>
      <c r="K50" s="18">
        <f>COUNTIFS(Datasheet!G27:G36,1, Datasheet!N27:N36,1)</f>
        <v>0</v>
      </c>
      <c r="L50" s="18">
        <f>COUNTIFS(Datasheet!G27:G36,1, Datasheet!N27:N36,2)</f>
        <v>0</v>
      </c>
      <c r="M50" s="18">
        <f>COUNTIFS(Datasheet!G27:G36,1, Datasheet!N27:N36,3)</f>
        <v>0</v>
      </c>
      <c r="N50" s="18">
        <f>COUNTIFS(Datasheet!G27:G36,1, Datasheet!N27:N36,4)</f>
        <v>0</v>
      </c>
      <c r="O50" s="18">
        <f t="shared" ref="O50:O53" si="22">SUM(K50, L50, M50, N50)/10</f>
        <v>0</v>
      </c>
      <c r="R50" s="34">
        <v>1.0</v>
      </c>
      <c r="S50" s="18">
        <f>COUNTIFS(Datasheet!H27:H36,1, Datasheet!O27:O36,1)</f>
        <v>0</v>
      </c>
      <c r="T50" s="18">
        <f>COUNTIFS(Datasheet!H27:H36,1, Datasheet!O27:O36,2)</f>
        <v>0</v>
      </c>
      <c r="U50" s="18">
        <f>COUNTIFS(Datasheet!H27:H36,1, Datasheet!O27:O36,3)</f>
        <v>0</v>
      </c>
      <c r="V50" s="18">
        <f>COUNTIFS(Datasheet!H27:H36,1, Datasheet!O27:O36,4)</f>
        <v>0</v>
      </c>
      <c r="W50" s="18">
        <f t="shared" ref="W50:W53" si="23">SUM(S50, T50, U50, V50)/10</f>
        <v>0</v>
      </c>
      <c r="Z50" s="34">
        <v>1.0</v>
      </c>
      <c r="AA50" s="18">
        <f>COUNTIFS(Datasheet!I27:I36,1, Datasheet!P27:P36,1)</f>
        <v>4</v>
      </c>
      <c r="AB50" s="18">
        <f>COUNTIFS(Datasheet!I27:I36,1, Datasheet!P27:P36,2)</f>
        <v>0</v>
      </c>
      <c r="AC50" s="18">
        <f>COUNTIFS(Datasheet!I27:I36,1, Datasheet!P27:P36,3)</f>
        <v>0</v>
      </c>
      <c r="AD50" s="18">
        <f>COUNTIFS(Datasheet!I27:I36,1, Datasheet!P27:P36,4)</f>
        <v>0</v>
      </c>
      <c r="AE50" s="18">
        <f t="shared" ref="AE50:AE53" si="24">SUM(AA50, AB50, AC50, AD50)/10</f>
        <v>0.4</v>
      </c>
      <c r="AH50" s="34">
        <v>1.0</v>
      </c>
      <c r="AI50" s="18">
        <f>COUNTIFS(Datasheet!J27:J36,1, Datasheet!Q27:Q36,1)</f>
        <v>0</v>
      </c>
      <c r="AJ50" s="18">
        <f>COUNTIFS(Datasheet!J27:J36,1, Datasheet!Q27:Q36,2)</f>
        <v>0</v>
      </c>
      <c r="AK50" s="18">
        <f>COUNTIFS(Datasheet!J27:J36,1, Datasheet!Q27:Q36,3)</f>
        <v>0</v>
      </c>
      <c r="AL50" s="18">
        <f>COUNTIFS(Datasheet!J27:J36,1, Datasheet!Q27:Q36,4)</f>
        <v>0</v>
      </c>
      <c r="AM50" s="18">
        <f t="shared" ref="AM50:AM53" si="25">SUM(AI50, AJ50, AK50, AL50)/10</f>
        <v>0</v>
      </c>
    </row>
    <row r="51">
      <c r="A51" s="33" t="s">
        <v>5</v>
      </c>
      <c r="B51" s="34">
        <v>2.0</v>
      </c>
      <c r="C51" s="18">
        <f>COUNTIFS(Datasheet!F27:F36,2, Datasheet!M27:M36,1)</f>
        <v>0</v>
      </c>
      <c r="D51" s="18">
        <f>COUNTIFS(Datasheet!F27:F36,2, Datasheet!M27:M36,2)</f>
        <v>0</v>
      </c>
      <c r="E51" s="18">
        <f>COUNTIFS(Datasheet!F27:F36,2, Datasheet!M27:M36,3)</f>
        <v>0</v>
      </c>
      <c r="F51" s="18">
        <f>COUNTIFS(Datasheet!F27:F36,2, Datasheet!M27:M36,4)</f>
        <v>0</v>
      </c>
      <c r="G51" s="18">
        <f t="shared" si="21"/>
        <v>0</v>
      </c>
      <c r="I51" s="33" t="s">
        <v>5</v>
      </c>
      <c r="J51" s="34">
        <v>2.0</v>
      </c>
      <c r="K51" s="18">
        <f>COUNTIFS(Datasheet!G27:G36,2, Datasheet!N27:N36,1)</f>
        <v>0</v>
      </c>
      <c r="L51" s="18">
        <f>COUNTIFS(Datasheet!G27:G36,2, Datasheet!N27:N36,2)</f>
        <v>0</v>
      </c>
      <c r="M51" s="18">
        <f>COUNTIFS(Datasheet!G27:G36,2, Datasheet!N27:N36,3)</f>
        <v>0</v>
      </c>
      <c r="N51" s="18">
        <f>COUNTIFS(Datasheet!G27:G36,2, Datasheet!N27:N36,4)</f>
        <v>0</v>
      </c>
      <c r="O51" s="18">
        <f t="shared" si="22"/>
        <v>0</v>
      </c>
      <c r="Q51" s="33" t="s">
        <v>5</v>
      </c>
      <c r="R51" s="34">
        <v>2.0</v>
      </c>
      <c r="S51" s="18">
        <f>COUNTIFS(Datasheet!H27:H36,2, Datasheet!O27:O36,1)</f>
        <v>0</v>
      </c>
      <c r="T51" s="18">
        <f>COUNTIFS(Datasheet!H27:H36,2, Datasheet!O27:O36,2)</f>
        <v>0</v>
      </c>
      <c r="U51" s="18">
        <f>COUNTIFS(Datasheet!H27:H36,2, Datasheet!O27:O36,3)</f>
        <v>0</v>
      </c>
      <c r="V51" s="18">
        <f>COUNTIFS(Datasheet!H27:H36,2, Datasheet!O27:O36,4)</f>
        <v>1</v>
      </c>
      <c r="W51" s="18">
        <f t="shared" si="23"/>
        <v>0.1</v>
      </c>
      <c r="Y51" s="33" t="s">
        <v>5</v>
      </c>
      <c r="Z51" s="34">
        <v>2.0</v>
      </c>
      <c r="AA51" s="18">
        <f>COUNTIFS(Datasheet!I27:I36,2, Datasheet!P27:P36,1)</f>
        <v>2</v>
      </c>
      <c r="AB51" s="18">
        <f>COUNTIFS(Datasheet!I27:I36,2, Datasheet!P27:P36,2)</f>
        <v>3</v>
      </c>
      <c r="AC51" s="18">
        <f>COUNTIFS(Datasheet!I27:I36,2, Datasheet!P27:P36,3)</f>
        <v>0</v>
      </c>
      <c r="AD51" s="18">
        <f>COUNTIFS(Datasheet!I27:I36,2, Datasheet!P27:P36,4)</f>
        <v>0</v>
      </c>
      <c r="AE51" s="18">
        <f t="shared" si="24"/>
        <v>0.5</v>
      </c>
      <c r="AG51" s="33" t="s">
        <v>5</v>
      </c>
      <c r="AH51" s="34">
        <v>2.0</v>
      </c>
      <c r="AI51" s="18">
        <f>COUNTIFS(Datasheet!J27:J36,2, Datasheet!Q27:Q36,1)</f>
        <v>0</v>
      </c>
      <c r="AJ51" s="18">
        <f>COUNTIFS(Datasheet!J27:J36,2, Datasheet!Q27:Q36,2)</f>
        <v>0</v>
      </c>
      <c r="AK51" s="18">
        <f>COUNTIFS(Datasheet!J27:J36,2, Datasheet!Q27:Q36,3)</f>
        <v>0</v>
      </c>
      <c r="AL51" s="18">
        <f>COUNTIFS(Datasheet!J27:J36,2, Datasheet!Q27:Q36,4)</f>
        <v>0</v>
      </c>
      <c r="AM51" s="18">
        <f t="shared" si="25"/>
        <v>0</v>
      </c>
    </row>
    <row r="52">
      <c r="B52" s="34">
        <v>3.0</v>
      </c>
      <c r="C52" s="18">
        <f>COUNTIFS(Datasheet!F27:F36,3, Datasheet!M27:M36,1)</f>
        <v>0</v>
      </c>
      <c r="D52" s="18">
        <f>COUNTIFS(Datasheet!F27:F36,3, Datasheet!M27:M36,2)</f>
        <v>0</v>
      </c>
      <c r="E52" s="18">
        <f>COUNTIFS(Datasheet!F27:F36,3, Datasheet!M27:M36,3)</f>
        <v>3</v>
      </c>
      <c r="F52" s="18">
        <f>COUNTIFS(Datasheet!F27:F36,3, Datasheet!M27:M36,4)</f>
        <v>0</v>
      </c>
      <c r="G52" s="18">
        <f t="shared" si="21"/>
        <v>0.3</v>
      </c>
      <c r="J52" s="34">
        <v>3.0</v>
      </c>
      <c r="K52" s="18">
        <f>COUNTIFS(Datasheet!G27:G36,3, Datasheet!N27:N36,1)</f>
        <v>0</v>
      </c>
      <c r="L52" s="18">
        <f>COUNTIFS(Datasheet!G27:G36,3, Datasheet!N27:N36,2)</f>
        <v>3</v>
      </c>
      <c r="M52" s="18">
        <f>COUNTIFS(Datasheet!G27:G36,3, Datasheet!N27:N36,3)</f>
        <v>4</v>
      </c>
      <c r="N52" s="18">
        <f>COUNTIFS(Datasheet!G27:G36,3, Datasheet!N27:N36,4)</f>
        <v>0</v>
      </c>
      <c r="O52" s="18">
        <f t="shared" si="22"/>
        <v>0.7</v>
      </c>
      <c r="R52" s="34">
        <v>3.0</v>
      </c>
      <c r="S52" s="18">
        <f>COUNTIFS(Datasheet!H27:H36,3, Datasheet!O27:O36,1)</f>
        <v>0</v>
      </c>
      <c r="T52" s="18">
        <f>COUNTIFS(Datasheet!H27:H36,3, Datasheet!O27:O36,2)</f>
        <v>0</v>
      </c>
      <c r="U52" s="18">
        <f>COUNTIFS(Datasheet!H27:H36,3, Datasheet!O27:O36,3)</f>
        <v>1</v>
      </c>
      <c r="V52" s="18">
        <f>COUNTIFS(Datasheet!H27:H36,3, Datasheet!O27:O36,4)</f>
        <v>5</v>
      </c>
      <c r="W52" s="18">
        <f t="shared" si="23"/>
        <v>0.6</v>
      </c>
      <c r="Z52" s="34">
        <v>3.0</v>
      </c>
      <c r="AA52" s="18">
        <f>COUNTIFS(Datasheet!I27:I36,3, Datasheet!P27:P36,1)</f>
        <v>0</v>
      </c>
      <c r="AB52" s="18">
        <f>COUNTIFS(Datasheet!I27:I36,3, Datasheet!P27:P36,2)</f>
        <v>1</v>
      </c>
      <c r="AC52" s="18">
        <f>COUNTIFS(Datasheet!I27:I36,3, Datasheet!P27:P36,3)</f>
        <v>0</v>
      </c>
      <c r="AD52" s="18">
        <f>COUNTIFS(Datasheet!I27:I36,3, Datasheet!P27:P36,4)</f>
        <v>0</v>
      </c>
      <c r="AE52" s="18">
        <f t="shared" si="24"/>
        <v>0.1</v>
      </c>
      <c r="AH52" s="34">
        <v>3.0</v>
      </c>
      <c r="AI52" s="18">
        <f>COUNTIFS(Datasheet!J27:J36,3, Datasheet!Q27:Q36,1)</f>
        <v>0</v>
      </c>
      <c r="AJ52" s="18">
        <f>COUNTIFS(Datasheet!J27:J36,3, Datasheet!Q27:Q36,2)</f>
        <v>0</v>
      </c>
      <c r="AK52" s="18">
        <f>COUNTIFS(Datasheet!J27:J36,3, Datasheet!Q27:Q36,3)</f>
        <v>1</v>
      </c>
      <c r="AL52" s="18">
        <f>COUNTIFS(Datasheet!J27:J36,3, Datasheet!Q27:Q36,4)</f>
        <v>2</v>
      </c>
      <c r="AM52" s="18">
        <f t="shared" si="25"/>
        <v>0.3</v>
      </c>
    </row>
    <row r="53">
      <c r="B53" s="34">
        <v>4.0</v>
      </c>
      <c r="C53" s="18">
        <f>COUNTIFS(Datasheet!F27:F36,4, Datasheet!M27:M36,1)</f>
        <v>0</v>
      </c>
      <c r="D53" s="18">
        <f>COUNTIFS(Datasheet!F27:F36,4, Datasheet!M27:M36,2)</f>
        <v>0</v>
      </c>
      <c r="E53" s="18">
        <f>COUNTIFS(Datasheet!F27:F36,4, Datasheet!M27:M36,3)</f>
        <v>2</v>
      </c>
      <c r="F53" s="18">
        <f>COUNTIFS(Datasheet!F27:F36,4, Datasheet!M27:M36,4)</f>
        <v>5</v>
      </c>
      <c r="G53" s="18">
        <f t="shared" si="21"/>
        <v>0.7</v>
      </c>
      <c r="J53" s="34">
        <v>4.0</v>
      </c>
      <c r="K53" s="18">
        <f>COUNTIFS(Datasheet!G27:G36,4, Datasheet!N27:N36,1)</f>
        <v>0</v>
      </c>
      <c r="L53" s="18">
        <f>COUNTIFS(Datasheet!G27:G36,4, Datasheet!N27:N36,2)</f>
        <v>0</v>
      </c>
      <c r="M53" s="18">
        <f>COUNTIFS(Datasheet!G27:G36,4, Datasheet!N27:N36,3)</f>
        <v>3</v>
      </c>
      <c r="N53" s="18">
        <f>COUNTIFS(Datasheet!G27:G36,4, Datasheet!N27:N36,4)</f>
        <v>0</v>
      </c>
      <c r="O53" s="18">
        <f t="shared" si="22"/>
        <v>0.3</v>
      </c>
      <c r="R53" s="34">
        <v>4.0</v>
      </c>
      <c r="S53" s="18">
        <f>COUNTIFS(Datasheet!H27:H36,4, Datasheet!O27:O36,1)</f>
        <v>0</v>
      </c>
      <c r="T53" s="18">
        <f>COUNTIFS(Datasheet!H27:H36,4, Datasheet!O27:O36,2)</f>
        <v>1</v>
      </c>
      <c r="U53" s="18">
        <f>COUNTIFS(Datasheet!H27:H36,4, Datasheet!O27:O36,3)</f>
        <v>1</v>
      </c>
      <c r="V53" s="18">
        <f>COUNTIFS(Datasheet!H27:H36,4, Datasheet!O27:O36,4)</f>
        <v>1</v>
      </c>
      <c r="W53" s="18">
        <f t="shared" si="23"/>
        <v>0.3</v>
      </c>
      <c r="Z53" s="34">
        <v>4.0</v>
      </c>
      <c r="AA53" s="18">
        <f>COUNTIFS(Datasheet!I27:I36,4, Datasheet!P27:P36,1)</f>
        <v>0</v>
      </c>
      <c r="AB53" s="18">
        <f>COUNTIFS(Datasheet!I27:I36,4, Datasheet!P27:P36,2)</f>
        <v>0</v>
      </c>
      <c r="AC53" s="18">
        <f>COUNTIFS(Datasheet!I27:I36,4, Datasheet!P27:P36,3)</f>
        <v>0</v>
      </c>
      <c r="AD53" s="18">
        <f>COUNTIFS(Datasheet!I27:I36,4, Datasheet!P27:P36,4)</f>
        <v>0</v>
      </c>
      <c r="AE53" s="18">
        <f t="shared" si="24"/>
        <v>0</v>
      </c>
      <c r="AH53" s="34">
        <v>4.0</v>
      </c>
      <c r="AI53" s="18">
        <f>COUNTIFS(Datasheet!J27:J36,4, Datasheet!Q27:Q36,1)</f>
        <v>0</v>
      </c>
      <c r="AJ53" s="18">
        <f>COUNTIFS(Datasheet!J27:J36,4, Datasheet!Q27:Q36,2)</f>
        <v>0</v>
      </c>
      <c r="AK53" s="18">
        <f>COUNTIFS(Datasheet!J27:J36,4, Datasheet!Q27:Q36,3)</f>
        <v>1</v>
      </c>
      <c r="AL53" s="18">
        <f>COUNTIFS(Datasheet!J27:J36,4, Datasheet!Q27:Q36,4)</f>
        <v>6</v>
      </c>
      <c r="AM53" s="18">
        <f t="shared" si="25"/>
        <v>0.7</v>
      </c>
    </row>
    <row r="54">
      <c r="B54" s="16" t="s">
        <v>297</v>
      </c>
      <c r="C54" s="18">
        <f t="shared" ref="C54:F54" si="26">SUM(C50:C53)/10</f>
        <v>0</v>
      </c>
      <c r="D54" s="18">
        <f t="shared" si="26"/>
        <v>0</v>
      </c>
      <c r="E54" s="18">
        <f t="shared" si="26"/>
        <v>0.5</v>
      </c>
      <c r="F54" s="18">
        <f t="shared" si="26"/>
        <v>0.5</v>
      </c>
      <c r="G54" s="18">
        <f>SUM(G50:G53)</f>
        <v>1</v>
      </c>
      <c r="J54" s="16" t="s">
        <v>297</v>
      </c>
      <c r="K54" s="18">
        <f t="shared" ref="K54:N54" si="27">SUM(K50:K53)/10</f>
        <v>0</v>
      </c>
      <c r="L54" s="18">
        <f t="shared" si="27"/>
        <v>0.3</v>
      </c>
      <c r="M54" s="18">
        <f t="shared" si="27"/>
        <v>0.7</v>
      </c>
      <c r="N54" s="18">
        <f t="shared" si="27"/>
        <v>0</v>
      </c>
      <c r="O54" s="18">
        <f>SUM(O50:O53)</f>
        <v>1</v>
      </c>
      <c r="R54" s="16" t="s">
        <v>297</v>
      </c>
      <c r="S54" s="18">
        <f t="shared" ref="S54:V54" si="28">SUM(S50:S53)/10</f>
        <v>0</v>
      </c>
      <c r="T54" s="18">
        <f t="shared" si="28"/>
        <v>0.1</v>
      </c>
      <c r="U54" s="18">
        <f t="shared" si="28"/>
        <v>0.2</v>
      </c>
      <c r="V54" s="18">
        <f t="shared" si="28"/>
        <v>0.7</v>
      </c>
      <c r="W54" s="18">
        <f>SUM(W50:W53)</f>
        <v>1</v>
      </c>
      <c r="Z54" s="16" t="s">
        <v>297</v>
      </c>
      <c r="AA54" s="18">
        <f t="shared" ref="AA54:AD54" si="29">SUM(AA50:AA53)/10</f>
        <v>0.6</v>
      </c>
      <c r="AB54" s="18">
        <f t="shared" si="29"/>
        <v>0.4</v>
      </c>
      <c r="AC54" s="18">
        <f t="shared" si="29"/>
        <v>0</v>
      </c>
      <c r="AD54" s="18">
        <f t="shared" si="29"/>
        <v>0</v>
      </c>
      <c r="AE54" s="18">
        <f>SUM(AE50:AE53)</f>
        <v>1</v>
      </c>
      <c r="AH54" s="16" t="s">
        <v>297</v>
      </c>
      <c r="AI54" s="18">
        <f t="shared" ref="AI54:AL54" si="30">SUM(AI50:AI53)/10</f>
        <v>0</v>
      </c>
      <c r="AJ54" s="18">
        <f t="shared" si="30"/>
        <v>0</v>
      </c>
      <c r="AK54" s="18">
        <f t="shared" si="30"/>
        <v>0.2</v>
      </c>
      <c r="AL54" s="18">
        <f t="shared" si="30"/>
        <v>0.8</v>
      </c>
      <c r="AM54" s="18">
        <f>SUM(AM50:AM53)</f>
        <v>1</v>
      </c>
    </row>
    <row r="56">
      <c r="A56" s="1" t="s">
        <v>298</v>
      </c>
      <c r="C56" s="15">
        <f>(G50*C54)*10</f>
        <v>0</v>
      </c>
      <c r="D56" s="15">
        <f>(G50*D54)*10</f>
        <v>0</v>
      </c>
      <c r="E56" s="15">
        <f>(G50*E54)*10</f>
        <v>0</v>
      </c>
      <c r="F56" s="15">
        <f>(G50*F54)*10</f>
        <v>0</v>
      </c>
      <c r="I56" s="1" t="s">
        <v>298</v>
      </c>
      <c r="K56" s="15">
        <f>(O50*K54)*10</f>
        <v>0</v>
      </c>
      <c r="L56" s="15">
        <f>(O50*L54)*10</f>
        <v>0</v>
      </c>
      <c r="M56" s="15">
        <f>(O50*M54)*10</f>
        <v>0</v>
      </c>
      <c r="N56" s="15">
        <f>(O50*N54)*10</f>
        <v>0</v>
      </c>
      <c r="Q56" s="1" t="s">
        <v>298</v>
      </c>
      <c r="S56" s="15">
        <f>(W50*S54)*10</f>
        <v>0</v>
      </c>
      <c r="T56" s="15">
        <f>(W50*T54)*10</f>
        <v>0</v>
      </c>
      <c r="U56" s="15">
        <f>(W50*U54)*10</f>
        <v>0</v>
      </c>
      <c r="V56" s="15">
        <f>(W50*V54)*10</f>
        <v>0</v>
      </c>
      <c r="Y56" s="1" t="s">
        <v>298</v>
      </c>
      <c r="AA56" s="15">
        <f>(AE50*AA54)*10</f>
        <v>2.4</v>
      </c>
      <c r="AB56" s="15">
        <f>(AE50*AB54)*10</f>
        <v>1.6</v>
      </c>
      <c r="AC56" s="15">
        <f>(AE50*AC54)*10</f>
        <v>0</v>
      </c>
      <c r="AD56" s="15">
        <f>(AE50*AD54)*10</f>
        <v>0</v>
      </c>
      <c r="AG56" s="1" t="s">
        <v>298</v>
      </c>
      <c r="AI56" s="15">
        <f>(AM50*AI54)*10</f>
        <v>0</v>
      </c>
      <c r="AJ56" s="15">
        <f>(AM50*AJ54)*10</f>
        <v>0</v>
      </c>
      <c r="AK56" s="15">
        <f>(AM50*AK54)*10</f>
        <v>0</v>
      </c>
      <c r="AL56" s="15">
        <f>(AM50*AL54)*10</f>
        <v>0</v>
      </c>
    </row>
    <row r="57">
      <c r="C57" s="15">
        <f>(G51*C54)*10</f>
        <v>0</v>
      </c>
      <c r="D57" s="15">
        <f>(G51*D54)*10</f>
        <v>0</v>
      </c>
      <c r="E57" s="15">
        <f>(G51*E54)*10</f>
        <v>0</v>
      </c>
      <c r="F57" s="15">
        <f>(G51*F54)*10</f>
        <v>0</v>
      </c>
      <c r="K57" s="15">
        <f>(O51*K54)*10</f>
        <v>0</v>
      </c>
      <c r="L57" s="15">
        <f>(O51*L54)*10</f>
        <v>0</v>
      </c>
      <c r="M57" s="15">
        <f>(O51*M54)*10</f>
        <v>0</v>
      </c>
      <c r="N57" s="15">
        <f>(O51*N54)*10</f>
        <v>0</v>
      </c>
      <c r="S57" s="15">
        <f>(W51*S54)*10</f>
        <v>0</v>
      </c>
      <c r="T57" s="15">
        <f>(W51*T54)*10</f>
        <v>0.1</v>
      </c>
      <c r="U57" s="15">
        <f>(W51*U54)*10</f>
        <v>0.2</v>
      </c>
      <c r="V57" s="15">
        <f>(W51*V54)*10</f>
        <v>0.7</v>
      </c>
      <c r="AA57" s="15">
        <f>(AE51*AA54)*10</f>
        <v>3</v>
      </c>
      <c r="AB57" s="15">
        <f>(AE51*AB54)*10</f>
        <v>2</v>
      </c>
      <c r="AC57" s="15">
        <f>(AE51*AC54)*10</f>
        <v>0</v>
      </c>
      <c r="AD57" s="15">
        <f>(AE51*AD54)*10</f>
        <v>0</v>
      </c>
      <c r="AI57" s="15">
        <f>(AM51*AI54)*10</f>
        <v>0</v>
      </c>
      <c r="AJ57" s="15">
        <f>(AM51*AJ54)*10</f>
        <v>0</v>
      </c>
      <c r="AK57" s="15">
        <f>(AM51*AK54)*10</f>
        <v>0</v>
      </c>
      <c r="AL57" s="15">
        <f>(AM51*AL54)*10</f>
        <v>0</v>
      </c>
    </row>
    <row r="58">
      <c r="C58" s="15">
        <f>(G52*C54)*10</f>
        <v>0</v>
      </c>
      <c r="D58" s="15">
        <f>(G52*D54)*10</f>
        <v>0</v>
      </c>
      <c r="E58" s="15">
        <f>(G52*E54)*10</f>
        <v>1.5</v>
      </c>
      <c r="F58" s="15">
        <f>(G52*F54)*10</f>
        <v>1.5</v>
      </c>
      <c r="K58" s="15">
        <f>(O52*K54)*10</f>
        <v>0</v>
      </c>
      <c r="L58" s="15">
        <f>(O52*L54)*10</f>
        <v>2.1</v>
      </c>
      <c r="M58" s="15">
        <f>(O52*M54)*10</f>
        <v>4.9</v>
      </c>
      <c r="N58" s="15">
        <f>(O52*N54)*10</f>
        <v>0</v>
      </c>
      <c r="S58" s="15">
        <f>(W52*S54)*10</f>
        <v>0</v>
      </c>
      <c r="T58" s="15">
        <f>(W52*T54)*10</f>
        <v>0.6</v>
      </c>
      <c r="U58" s="15">
        <f>(W52*U54)*10</f>
        <v>1.2</v>
      </c>
      <c r="V58" s="15">
        <f>(W52*V54)*10</f>
        <v>4.2</v>
      </c>
      <c r="AA58" s="15">
        <f>(AE52*AA54)*10</f>
        <v>0.6</v>
      </c>
      <c r="AB58" s="15">
        <f>(AE52*AB54)*10</f>
        <v>0.4</v>
      </c>
      <c r="AC58" s="15">
        <f>(AE52*AC54)*10</f>
        <v>0</v>
      </c>
      <c r="AD58" s="15">
        <f>(AE52*AD54)*10</f>
        <v>0</v>
      </c>
      <c r="AI58" s="15">
        <f>(AM52*AI54)*10</f>
        <v>0</v>
      </c>
      <c r="AJ58" s="15">
        <f>(AM52*AJ54)*10</f>
        <v>0</v>
      </c>
      <c r="AK58" s="15">
        <f>(AM52*AK54)*10</f>
        <v>0.6</v>
      </c>
      <c r="AL58" s="15">
        <f>(AM52*AL54)*10</f>
        <v>2.4</v>
      </c>
    </row>
    <row r="59">
      <c r="C59" s="15">
        <f>(G53*C54)*10</f>
        <v>0</v>
      </c>
      <c r="D59" s="15">
        <f>(G53*D54)*10</f>
        <v>0</v>
      </c>
      <c r="E59" s="15">
        <f>(G53*E54)*10</f>
        <v>3.5</v>
      </c>
      <c r="F59" s="15">
        <f>(G53*F54)*10</f>
        <v>3.5</v>
      </c>
      <c r="K59" s="15">
        <f>(O53*K54)*10</f>
        <v>0</v>
      </c>
      <c r="L59" s="15">
        <f>(O53*L54)*10</f>
        <v>0.9</v>
      </c>
      <c r="M59" s="15">
        <f>(O53*M54)*10</f>
        <v>2.1</v>
      </c>
      <c r="N59" s="15">
        <f>(O53*N54)*10</f>
        <v>0</v>
      </c>
      <c r="S59" s="15">
        <f>(W53*S54)*10</f>
        <v>0</v>
      </c>
      <c r="T59" s="15">
        <f>(W53*T54)*10</f>
        <v>0.3</v>
      </c>
      <c r="U59" s="15">
        <f>(W53*U54)*10</f>
        <v>0.6</v>
      </c>
      <c r="V59" s="15">
        <f>(W53*V54)*10</f>
        <v>2.1</v>
      </c>
      <c r="AA59" s="15">
        <f>(AE53*AA54)*10</f>
        <v>0</v>
      </c>
      <c r="AB59" s="15">
        <f>(AE53*AB54)*10</f>
        <v>0</v>
      </c>
      <c r="AC59" s="15">
        <f>(AE53*AC54)*10</f>
        <v>0</v>
      </c>
      <c r="AD59" s="15">
        <f>(AE53*AD54)*10</f>
        <v>0</v>
      </c>
      <c r="AI59" s="15">
        <f>(AM53*AI54)*10</f>
        <v>0</v>
      </c>
      <c r="AJ59" s="15">
        <f>(AM53*AJ54)*10</f>
        <v>0</v>
      </c>
      <c r="AK59" s="15">
        <f>(AM53*AK54)*10</f>
        <v>1.4</v>
      </c>
      <c r="AL59" s="15">
        <f>(AM53*AL54)*10</f>
        <v>5.6</v>
      </c>
    </row>
    <row r="61">
      <c r="A61" s="1" t="s">
        <v>299</v>
      </c>
      <c r="C61" s="35">
        <f>((B50-C49)^2)/((4-1)^2)</f>
        <v>0</v>
      </c>
      <c r="D61" s="15">
        <f>((B50-D49)^2)/((4-1)^2)</f>
        <v>0.1111111111</v>
      </c>
      <c r="E61" s="15">
        <f>((B50-E49)^2)/((4-1)^2)</f>
        <v>0.4444444444</v>
      </c>
      <c r="F61" s="18">
        <f>((B50-F49)^2)/((4-1)^2)</f>
        <v>1</v>
      </c>
      <c r="I61" s="1" t="s">
        <v>299</v>
      </c>
      <c r="K61" s="35">
        <f>((J50-K49)^2)/((4-1)^2)</f>
        <v>0</v>
      </c>
      <c r="L61" s="15">
        <f>((J50-L49)^2)/((4-1)^2)</f>
        <v>0.1111111111</v>
      </c>
      <c r="M61" s="15">
        <f>((J50-M49)^2)/((4-1)^2)</f>
        <v>0.4444444444</v>
      </c>
      <c r="N61" s="18">
        <f>((J50-N49)^2)/((4-1)^2)</f>
        <v>1</v>
      </c>
      <c r="Q61" s="1" t="s">
        <v>299</v>
      </c>
      <c r="S61" s="35">
        <f>((R50-S49)^2)/((4-1)^2)</f>
        <v>0</v>
      </c>
      <c r="T61" s="15">
        <f>((R50-T49)^2)/((4-1)^2)</f>
        <v>0.1111111111</v>
      </c>
      <c r="U61" s="15">
        <f>((R50-U49)^2)/((4-1)^2)</f>
        <v>0.4444444444</v>
      </c>
      <c r="V61" s="18">
        <f>((R50-V49)^2)/((4-1)^2)</f>
        <v>1</v>
      </c>
      <c r="Y61" s="1" t="s">
        <v>299</v>
      </c>
      <c r="AA61" s="35">
        <f>((Z50-AA49)^2)/((4-1)^2)</f>
        <v>0</v>
      </c>
      <c r="AB61" s="15">
        <f>((Z50-AB49)^2)/((4-1)^2)</f>
        <v>0.1111111111</v>
      </c>
      <c r="AC61" s="15">
        <f>((Z50-AC49)^2)/((4-1)^2)</f>
        <v>0.4444444444</v>
      </c>
      <c r="AD61" s="18">
        <f>((Z50-AD49)^2)/((4-1)^2)</f>
        <v>1</v>
      </c>
      <c r="AG61" s="1" t="s">
        <v>299</v>
      </c>
      <c r="AI61" s="35">
        <f>((AH50-AI49)^2)/((4-1)^2)</f>
        <v>0</v>
      </c>
      <c r="AJ61" s="15">
        <f>((AH50-AJ49)^2)/((4-1)^2)</f>
        <v>0.1111111111</v>
      </c>
      <c r="AK61" s="15">
        <f>((AH50-AK49)^2)/((4-1)^2)</f>
        <v>0.4444444444</v>
      </c>
      <c r="AL61" s="18">
        <f>((AH50-AL49)^2)/((4-1)^2)</f>
        <v>1</v>
      </c>
    </row>
    <row r="62">
      <c r="C62" s="15">
        <f>((B51-C49)^2)/((4-1)^2)</f>
        <v>0.1111111111</v>
      </c>
      <c r="D62" s="18">
        <f>((B51-D49)^2)/((4-1)^2)</f>
        <v>0</v>
      </c>
      <c r="E62" s="15">
        <f>((B51-E49)^2)/((4-1)^2)</f>
        <v>0.1111111111</v>
      </c>
      <c r="F62" s="15">
        <f>((B51-F49)^2)/((4-1)^2)</f>
        <v>0.4444444444</v>
      </c>
      <c r="K62" s="15">
        <f>((J51-K49)^2)/((4-1)^2)</f>
        <v>0.1111111111</v>
      </c>
      <c r="L62" s="18">
        <f>((J51-L49)^2)/((4-1)^2)</f>
        <v>0</v>
      </c>
      <c r="M62" s="15">
        <f>((J51-M49)^2)/((4-1)^2)</f>
        <v>0.1111111111</v>
      </c>
      <c r="N62" s="15">
        <f>((J51-N49)^2)/((4-1)^2)</f>
        <v>0.4444444444</v>
      </c>
      <c r="S62" s="15">
        <f>((R51-S49)^2)/((4-1)^2)</f>
        <v>0.1111111111</v>
      </c>
      <c r="T62" s="18">
        <f>((R51-T49)^2)/((4-1)^2)</f>
        <v>0</v>
      </c>
      <c r="U62" s="15">
        <f>((R51-U49)^2)/((4-1)^2)</f>
        <v>0.1111111111</v>
      </c>
      <c r="V62" s="15">
        <f>((R51-V49)^2)/((4-1)^2)</f>
        <v>0.4444444444</v>
      </c>
      <c r="AA62" s="15">
        <f>((Z51-AA49)^2)/((4-1)^2)</f>
        <v>0.1111111111</v>
      </c>
      <c r="AB62" s="18">
        <f>((Z51-AB49)^2)/((4-1)^2)</f>
        <v>0</v>
      </c>
      <c r="AC62" s="15">
        <f>((Z51-AC49)^2)/((4-1)^2)</f>
        <v>0.1111111111</v>
      </c>
      <c r="AD62" s="15">
        <f>((Z51-AD49)^2)/((4-1)^2)</f>
        <v>0.4444444444</v>
      </c>
      <c r="AI62" s="15">
        <f>((AH51-AI49)^2)/((4-1)^2)</f>
        <v>0.1111111111</v>
      </c>
      <c r="AJ62" s="18">
        <f>((AH51-AJ49)^2)/((4-1)^2)</f>
        <v>0</v>
      </c>
      <c r="AK62" s="15">
        <f>((AH51-AK49)^2)/((4-1)^2)</f>
        <v>0.1111111111</v>
      </c>
      <c r="AL62" s="15">
        <f>((AH51-AL49)^2)/((4-1)^2)</f>
        <v>0.4444444444</v>
      </c>
    </row>
    <row r="63">
      <c r="C63" s="15">
        <f>((B52-C49)^2)/((4-1)^2)</f>
        <v>0.4444444444</v>
      </c>
      <c r="D63" s="15">
        <f>((B52-D49)^2)/((4-1)^2)</f>
        <v>0.1111111111</v>
      </c>
      <c r="E63" s="18">
        <f>((B52-E49)^2)/((4-1)^2)</f>
        <v>0</v>
      </c>
      <c r="F63" s="15">
        <f>((B52-F49)^2)/((4-1)^2)</f>
        <v>0.1111111111</v>
      </c>
      <c r="K63" s="15">
        <f>((J52-K49)^2)/((4-1)^2)</f>
        <v>0.4444444444</v>
      </c>
      <c r="L63" s="15">
        <f>((J52-L49)^2)/((4-1)^2)</f>
        <v>0.1111111111</v>
      </c>
      <c r="M63" s="18">
        <f>((J52-M49)^2)/((4-1)^2)</f>
        <v>0</v>
      </c>
      <c r="N63" s="15">
        <f>((J52-N49)^2)/((4-1)^2)</f>
        <v>0.1111111111</v>
      </c>
      <c r="S63" s="15">
        <f>((R52-S49)^2)/((4-1)^2)</f>
        <v>0.4444444444</v>
      </c>
      <c r="T63" s="15">
        <f>((R52-T49)^2)/((4-1)^2)</f>
        <v>0.1111111111</v>
      </c>
      <c r="U63" s="18">
        <f>((R52-U49)^2)/((4-1)^2)</f>
        <v>0</v>
      </c>
      <c r="V63" s="15">
        <f>((R52-V49)^2)/((4-1)^2)</f>
        <v>0.1111111111</v>
      </c>
      <c r="AA63" s="15">
        <f>((Z52-AA49)^2)/((4-1)^2)</f>
        <v>0.4444444444</v>
      </c>
      <c r="AB63" s="15">
        <f>((Z52-AB49)^2)/((4-1)^2)</f>
        <v>0.1111111111</v>
      </c>
      <c r="AC63" s="18">
        <f>((Z52-AC49)^2)/((4-1)^2)</f>
        <v>0</v>
      </c>
      <c r="AD63" s="15">
        <f>((Z52-AD49)^2)/((4-1)^2)</f>
        <v>0.1111111111</v>
      </c>
      <c r="AI63" s="15">
        <f>((AH52-AI49)^2)/((4-1)^2)</f>
        <v>0.4444444444</v>
      </c>
      <c r="AJ63" s="15">
        <f>((AH52-AJ49)^2)/((4-1)^2)</f>
        <v>0.1111111111</v>
      </c>
      <c r="AK63" s="18">
        <f>((AH52-AK49)^2)/((4-1)^2)</f>
        <v>0</v>
      </c>
      <c r="AL63" s="15">
        <f>((AH52-AL49)^2)/((4-1)^2)</f>
        <v>0.1111111111</v>
      </c>
    </row>
    <row r="64">
      <c r="C64" s="36">
        <f>((B53-C49)^2)/((4-1)^2)</f>
        <v>1</v>
      </c>
      <c r="D64" s="15">
        <f>((B53-D49)^2)/((4-1)^2)</f>
        <v>0.4444444444</v>
      </c>
      <c r="E64" s="15">
        <f>((B53-E49)^2)/((4-1)^2)</f>
        <v>0.1111111111</v>
      </c>
      <c r="F64" s="18">
        <f>((B53-F49)^2)/((4-1)^2)</f>
        <v>0</v>
      </c>
      <c r="K64" s="36">
        <f>((J53-K49)^2)/((4-1)^2)</f>
        <v>1</v>
      </c>
      <c r="L64" s="15">
        <f>((J53-L49)^2)/((4-1)^2)</f>
        <v>0.4444444444</v>
      </c>
      <c r="M64" s="15">
        <f>((J53-M49)^2)/((4-1)^2)</f>
        <v>0.1111111111</v>
      </c>
      <c r="N64" s="18">
        <f>((J53-N49)^2)/((4-1)^2)</f>
        <v>0</v>
      </c>
      <c r="S64" s="36">
        <f>((R53-S49)^2)/((4-1)^2)</f>
        <v>1</v>
      </c>
      <c r="T64" s="15">
        <f>((R53-T49)^2)/((4-1)^2)</f>
        <v>0.4444444444</v>
      </c>
      <c r="U64" s="15">
        <f>((R53-U49)^2)/((4-1)^2)</f>
        <v>0.1111111111</v>
      </c>
      <c r="V64" s="18">
        <f>((R53-V49)^2)/((4-1)^2)</f>
        <v>0</v>
      </c>
      <c r="AA64" s="36">
        <f>((Z53-AA49)^2)/((4-1)^2)</f>
        <v>1</v>
      </c>
      <c r="AB64" s="15">
        <f>((Z53-AB49)^2)/((4-1)^2)</f>
        <v>0.4444444444</v>
      </c>
      <c r="AC64" s="15">
        <f>((Z53-AC49)^2)/((4-1)^2)</f>
        <v>0.1111111111</v>
      </c>
      <c r="AD64" s="18">
        <f>((Z53-AD49)^2)/((4-1)^2)</f>
        <v>0</v>
      </c>
      <c r="AI64" s="36">
        <f>((AH53-AI49)^2)/((4-1)^2)</f>
        <v>1</v>
      </c>
      <c r="AJ64" s="15">
        <f>((AH53-AJ49)^2)/((4-1)^2)</f>
        <v>0.4444444444</v>
      </c>
      <c r="AK64" s="15">
        <f>((AH53-AK49)^2)/((4-1)^2)</f>
        <v>0.1111111111</v>
      </c>
      <c r="AL64" s="18">
        <f>((AH53-AL49)^2)/((4-1)^2)</f>
        <v>0</v>
      </c>
    </row>
    <row r="66">
      <c r="A66" s="1" t="s">
        <v>300</v>
      </c>
      <c r="B66" s="37">
        <f>1-SUMPRODUCT(C50:F53,C61:F64)/SUMPRODUCT(C56:F59,C61:F64)</f>
        <v>0.6</v>
      </c>
      <c r="I66" s="1" t="s">
        <v>300</v>
      </c>
      <c r="J66" s="37">
        <f>1-SUMPRODUCT(K50:N53,K61:N64)/SUMPRODUCT(K56:N59,K61:N64)</f>
        <v>0.2307692308</v>
      </c>
      <c r="Q66" s="1" t="s">
        <v>300</v>
      </c>
      <c r="R66" s="37">
        <f>1-SUMPRODUCT(S50:V53,S61:V64)/SUMPRODUCT(S56:V59,S61:V64)</f>
        <v>-0.4583333333</v>
      </c>
      <c r="Y66" s="1" t="s">
        <v>300</v>
      </c>
      <c r="Z66" s="37">
        <f>1-SUMPRODUCT(AA50:AD53,AA61:AD64)/SUMPRODUCT(AA56:AD59,AA61:AD64)</f>
        <v>0.5945945946</v>
      </c>
      <c r="AG66" s="1" t="s">
        <v>300</v>
      </c>
      <c r="AH66" s="37">
        <f>1-SUMPRODUCT(AI50:AL53,AI61:AL64)/SUMPRODUCT(AI56:AL59,AI61:AL64)</f>
        <v>0.2105263158</v>
      </c>
    </row>
    <row r="69">
      <c r="A69" s="31" t="s">
        <v>193</v>
      </c>
      <c r="B69" s="32"/>
      <c r="C69" s="32"/>
      <c r="D69" s="32"/>
      <c r="E69" s="32"/>
      <c r="F69" s="32"/>
      <c r="G69" s="32"/>
      <c r="H69" s="32"/>
      <c r="I69" s="31" t="s">
        <v>193</v>
      </c>
      <c r="J69" s="32"/>
      <c r="K69" s="32"/>
      <c r="L69" s="32"/>
      <c r="M69" s="32"/>
      <c r="N69" s="32"/>
      <c r="O69" s="32"/>
      <c r="P69" s="32"/>
      <c r="Q69" s="31" t="s">
        <v>193</v>
      </c>
      <c r="R69" s="32"/>
      <c r="S69" s="32"/>
      <c r="T69" s="32"/>
      <c r="U69" s="32"/>
      <c r="V69" s="32"/>
      <c r="W69" s="32"/>
      <c r="X69" s="32"/>
      <c r="Y69" s="31" t="s">
        <v>193</v>
      </c>
      <c r="Z69" s="32"/>
      <c r="AA69" s="32"/>
      <c r="AB69" s="32"/>
      <c r="AC69" s="32"/>
      <c r="AD69" s="32"/>
      <c r="AE69" s="32"/>
      <c r="AF69" s="32"/>
      <c r="AG69" s="31" t="s">
        <v>193</v>
      </c>
      <c r="AH69" s="32"/>
      <c r="AI69" s="32"/>
      <c r="AJ69" s="32"/>
      <c r="AK69" s="32"/>
      <c r="AL69" s="32"/>
      <c r="AM69" s="32"/>
    </row>
    <row r="70">
      <c r="D70" s="2" t="s">
        <v>11</v>
      </c>
      <c r="L70" s="2" t="s">
        <v>12</v>
      </c>
      <c r="T70" s="2" t="s">
        <v>13</v>
      </c>
      <c r="AB70" s="2" t="s">
        <v>14</v>
      </c>
      <c r="AJ70" s="2" t="s">
        <v>15</v>
      </c>
    </row>
    <row r="71">
      <c r="A71" s="1" t="s">
        <v>296</v>
      </c>
      <c r="D71" s="33" t="s">
        <v>6</v>
      </c>
      <c r="I71" s="1" t="s">
        <v>296</v>
      </c>
      <c r="L71" s="33" t="s">
        <v>6</v>
      </c>
      <c r="Q71" s="1" t="s">
        <v>296</v>
      </c>
      <c r="T71" s="33" t="s">
        <v>6</v>
      </c>
      <c r="Y71" s="1" t="s">
        <v>296</v>
      </c>
      <c r="AB71" s="33" t="s">
        <v>6</v>
      </c>
      <c r="AG71" s="1" t="s">
        <v>296</v>
      </c>
      <c r="AJ71" s="33" t="s">
        <v>6</v>
      </c>
    </row>
    <row r="72">
      <c r="B72" s="18"/>
      <c r="C72" s="34">
        <v>1.0</v>
      </c>
      <c r="D72" s="34">
        <v>2.0</v>
      </c>
      <c r="E72" s="34">
        <v>3.0</v>
      </c>
      <c r="F72" s="34">
        <v>4.0</v>
      </c>
      <c r="G72" s="16" t="s">
        <v>297</v>
      </c>
      <c r="J72" s="18"/>
      <c r="K72" s="34">
        <v>1.0</v>
      </c>
      <c r="L72" s="34">
        <v>2.0</v>
      </c>
      <c r="M72" s="34">
        <v>3.0</v>
      </c>
      <c r="N72" s="34">
        <v>4.0</v>
      </c>
      <c r="O72" s="16" t="s">
        <v>297</v>
      </c>
      <c r="R72" s="18"/>
      <c r="S72" s="34">
        <v>1.0</v>
      </c>
      <c r="T72" s="34">
        <v>2.0</v>
      </c>
      <c r="U72" s="34">
        <v>3.0</v>
      </c>
      <c r="V72" s="34">
        <v>4.0</v>
      </c>
      <c r="W72" s="16" t="s">
        <v>297</v>
      </c>
      <c r="Z72" s="18"/>
      <c r="AA72" s="34">
        <v>1.0</v>
      </c>
      <c r="AB72" s="34">
        <v>2.0</v>
      </c>
      <c r="AC72" s="34">
        <v>3.0</v>
      </c>
      <c r="AD72" s="34">
        <v>4.0</v>
      </c>
      <c r="AE72" s="16" t="s">
        <v>297</v>
      </c>
      <c r="AH72" s="18"/>
      <c r="AI72" s="34">
        <v>1.0</v>
      </c>
      <c r="AJ72" s="34">
        <v>2.0</v>
      </c>
      <c r="AK72" s="34">
        <v>3.0</v>
      </c>
      <c r="AL72" s="34">
        <v>4.0</v>
      </c>
      <c r="AM72" s="16" t="s">
        <v>297</v>
      </c>
    </row>
    <row r="73">
      <c r="B73" s="34">
        <v>1.0</v>
      </c>
      <c r="C73" s="18">
        <f>COUNTIFS(Datasheet!F38:F47,1, Datasheet!M38:M47,1)</f>
        <v>0</v>
      </c>
      <c r="D73" s="18">
        <f>COUNTIFS(Datasheet!F38:F47,1, Datasheet!M38:M47,2)</f>
        <v>0</v>
      </c>
      <c r="E73" s="18">
        <f>COUNTIFS(Datasheet!F38:F47,1, Datasheet!M38:M47,3)</f>
        <v>0</v>
      </c>
      <c r="F73" s="18">
        <f>COUNTIFS(Datasheet!F38:F47,1, Datasheet!M38:M47,4)</f>
        <v>0</v>
      </c>
      <c r="G73" s="18">
        <f t="shared" ref="G73:G76" si="31">SUM(C73, D73, E73, F73)/10</f>
        <v>0</v>
      </c>
      <c r="J73" s="34">
        <v>1.0</v>
      </c>
      <c r="K73" s="18">
        <f>COUNTIFS(Datasheet!G38:G47,1, Datasheet!N38:N47,1)</f>
        <v>0</v>
      </c>
      <c r="L73" s="18">
        <f>COUNTIFS(Datasheet!G38:G47,1, Datasheet!N38:N47,2)</f>
        <v>0</v>
      </c>
      <c r="M73" s="18">
        <f>COUNTIFS(Datasheet!G38:G47,1, Datasheet!N38:N47,3)</f>
        <v>0</v>
      </c>
      <c r="N73" s="18">
        <f>COUNTIFS(Datasheet!G38:G47,1, Datasheet!N38:N47,4)</f>
        <v>0</v>
      </c>
      <c r="O73" s="18">
        <f t="shared" ref="O73:O76" si="32">SUM(K73, L73, M73, N73)/10</f>
        <v>0</v>
      </c>
      <c r="R73" s="34">
        <v>1.0</v>
      </c>
      <c r="S73" s="18">
        <f>COUNTIFS(Datasheet!H38:H47,1, Datasheet!O38:O47,1)</f>
        <v>0</v>
      </c>
      <c r="T73" s="18">
        <f>COUNTIFS(Datasheet!H38:H47,1, Datasheet!O38:O47,2)</f>
        <v>0</v>
      </c>
      <c r="U73" s="18">
        <f>COUNTIFS(Datasheet!H38:H47,1, Datasheet!O38:O47,3)</f>
        <v>0</v>
      </c>
      <c r="V73" s="18">
        <f>COUNTIFS(Datasheet!H38:H47,1, Datasheet!O38:O47,4)</f>
        <v>0</v>
      </c>
      <c r="W73" s="18">
        <f t="shared" ref="W73:W76" si="33">SUM(S73, T73, U73, V73)/10</f>
        <v>0</v>
      </c>
      <c r="Z73" s="34">
        <v>1.0</v>
      </c>
      <c r="AA73" s="18">
        <f>COUNTIFS(Datasheet!I38:I47,1, Datasheet!P38:P47,1)</f>
        <v>0</v>
      </c>
      <c r="AB73" s="18">
        <f>COUNTIFS(Datasheet!I38:I47,1, Datasheet!P38:P47,2)</f>
        <v>0</v>
      </c>
      <c r="AC73" s="18">
        <f>COUNTIFS(Datasheet!I38:I47,1, Datasheet!P38:P47,3)</f>
        <v>0</v>
      </c>
      <c r="AD73" s="18">
        <f>COUNTIFS(Datasheet!I38:I47,1, Datasheet!P38:P47,4)</f>
        <v>0</v>
      </c>
      <c r="AE73" s="18">
        <f t="shared" ref="AE73:AE76" si="34">SUM(AA73, AB73, AC73, AD73)/10</f>
        <v>0</v>
      </c>
      <c r="AH73" s="34">
        <v>1.0</v>
      </c>
      <c r="AI73" s="18">
        <f>COUNTIFS(Datasheet!J38:J47,1, Datasheet!Q38:Q47,1)</f>
        <v>0</v>
      </c>
      <c r="AJ73" s="18">
        <f>COUNTIFS(Datasheet!J38:J47,1, Datasheet!Q38:Q47,2)</f>
        <v>0</v>
      </c>
      <c r="AK73" s="18">
        <f>COUNTIFS(Datasheet!J38:J47,1, Datasheet!Q38:Q47,3)</f>
        <v>0</v>
      </c>
      <c r="AL73" s="18">
        <f>COUNTIFS(Datasheet!J38:J47,1, Datasheet!Q38:Q47,4)</f>
        <v>0</v>
      </c>
      <c r="AM73" s="18">
        <f t="shared" ref="AM73:AM76" si="35">SUM(AI73, AJ73, AK73, AL73)/10</f>
        <v>0</v>
      </c>
    </row>
    <row r="74">
      <c r="A74" s="33" t="s">
        <v>5</v>
      </c>
      <c r="B74" s="34">
        <v>2.0</v>
      </c>
      <c r="C74" s="18">
        <f>COUNTIFS(Datasheet!F38:F47,2, Datasheet!M38:M47,1)</f>
        <v>0</v>
      </c>
      <c r="D74" s="18">
        <f>COUNTIFS(Datasheet!F38:F47,2, Datasheet!M38:M47,2)</f>
        <v>1</v>
      </c>
      <c r="E74" s="18">
        <f>COUNTIFS(Datasheet!F38:F47,2, Datasheet!M38:M47,3)</f>
        <v>0</v>
      </c>
      <c r="F74" s="18">
        <f>COUNTIFS(Datasheet!F38:F47,2, Datasheet!M38:M47,4)</f>
        <v>0</v>
      </c>
      <c r="G74" s="18">
        <f t="shared" si="31"/>
        <v>0.1</v>
      </c>
      <c r="I74" s="33" t="s">
        <v>5</v>
      </c>
      <c r="J74" s="34">
        <v>2.0</v>
      </c>
      <c r="K74" s="18">
        <f>COUNTIFS(Datasheet!G38:G47,2, Datasheet!N38:N47,1)</f>
        <v>0</v>
      </c>
      <c r="L74" s="18">
        <f>COUNTIFS(Datasheet!G38:G47,2, Datasheet!N38:N47,2)</f>
        <v>1</v>
      </c>
      <c r="M74" s="18">
        <f>COUNTIFS(Datasheet!G38:G47,2, Datasheet!N38:N47,3)</f>
        <v>0</v>
      </c>
      <c r="N74" s="18">
        <f>COUNTIFS(Datasheet!G38:G47,2, Datasheet!N38:N47,4)</f>
        <v>0</v>
      </c>
      <c r="O74" s="18">
        <f t="shared" si="32"/>
        <v>0.1</v>
      </c>
      <c r="Q74" s="33" t="s">
        <v>5</v>
      </c>
      <c r="R74" s="34">
        <v>2.0</v>
      </c>
      <c r="S74" s="18">
        <f>COUNTIFS(Datasheet!H38:H47,2, Datasheet!O38:O47,1)</f>
        <v>0</v>
      </c>
      <c r="T74" s="18">
        <f>COUNTIFS(Datasheet!H38:H47,2, Datasheet!O38:O47,2)</f>
        <v>1</v>
      </c>
      <c r="U74" s="18">
        <f>COUNTIFS(Datasheet!H38:H47,2, Datasheet!O38:O47,3)</f>
        <v>1</v>
      </c>
      <c r="V74" s="18">
        <f>COUNTIFS(Datasheet!H38:H47,2, Datasheet!O38:O47,4)</f>
        <v>0</v>
      </c>
      <c r="W74" s="18">
        <f t="shared" si="33"/>
        <v>0.2</v>
      </c>
      <c r="Y74" s="33" t="s">
        <v>5</v>
      </c>
      <c r="Z74" s="34">
        <v>2.0</v>
      </c>
      <c r="AA74" s="18">
        <f>COUNTIFS(Datasheet!I38:I47,2, Datasheet!P38:P47,1)</f>
        <v>0</v>
      </c>
      <c r="AB74" s="18">
        <f>COUNTIFS(Datasheet!I38:I47,2, Datasheet!P38:P47,2)</f>
        <v>3</v>
      </c>
      <c r="AC74" s="18">
        <f>COUNTIFS(Datasheet!I38:I47,2, Datasheet!P38:P47,3)</f>
        <v>1</v>
      </c>
      <c r="AD74" s="18">
        <f>COUNTIFS(Datasheet!I38:I47,2, Datasheet!P38:P47,4)</f>
        <v>0</v>
      </c>
      <c r="AE74" s="18">
        <f t="shared" si="34"/>
        <v>0.4</v>
      </c>
      <c r="AG74" s="33" t="s">
        <v>5</v>
      </c>
      <c r="AH74" s="34">
        <v>2.0</v>
      </c>
      <c r="AI74" s="18">
        <f>COUNTIFS(Datasheet!J38:J47,2, Datasheet!Q38:Q47,1)</f>
        <v>0</v>
      </c>
      <c r="AJ74" s="18">
        <f>COUNTIFS(Datasheet!J38:J47,2, Datasheet!Q38:Q47,2)</f>
        <v>0</v>
      </c>
      <c r="AK74" s="18">
        <f>COUNTIFS(Datasheet!J38:J47,2, Datasheet!Q38:Q47,3)</f>
        <v>0</v>
      </c>
      <c r="AL74" s="18">
        <f>COUNTIFS(Datasheet!J38:J47,2, Datasheet!Q38:Q47,4)</f>
        <v>0</v>
      </c>
      <c r="AM74" s="18">
        <f t="shared" si="35"/>
        <v>0</v>
      </c>
    </row>
    <row r="75">
      <c r="B75" s="34">
        <v>3.0</v>
      </c>
      <c r="C75" s="18">
        <f>COUNTIFS(Datasheet!F38:F47,3, Datasheet!M38:M47,1)</f>
        <v>0</v>
      </c>
      <c r="D75" s="18">
        <f>COUNTIFS(Datasheet!F38:F47,3, Datasheet!M38:M47,2)</f>
        <v>0</v>
      </c>
      <c r="E75" s="18">
        <f>COUNTIFS(Datasheet!F38:F47,3, Datasheet!M38:M47,3)</f>
        <v>4</v>
      </c>
      <c r="F75" s="18">
        <f>COUNTIFS(Datasheet!F38:F47,3, Datasheet!M38:M47,4)</f>
        <v>1</v>
      </c>
      <c r="G75" s="18">
        <f t="shared" si="31"/>
        <v>0.5</v>
      </c>
      <c r="J75" s="34">
        <v>3.0</v>
      </c>
      <c r="K75" s="18">
        <f>COUNTIFS(Datasheet!G38:G47,3, Datasheet!N38:N47,1)</f>
        <v>0</v>
      </c>
      <c r="L75" s="18">
        <f>COUNTIFS(Datasheet!G38:G47,3, Datasheet!N38:N47,2)</f>
        <v>0</v>
      </c>
      <c r="M75" s="18">
        <f>COUNTIFS(Datasheet!G38:G47,3, Datasheet!N38:N47,3)</f>
        <v>3</v>
      </c>
      <c r="N75" s="18">
        <f>COUNTIFS(Datasheet!G38:G47,3, Datasheet!N38:N47,4)</f>
        <v>2</v>
      </c>
      <c r="O75" s="18">
        <f t="shared" si="32"/>
        <v>0.5</v>
      </c>
      <c r="R75" s="34">
        <v>3.0</v>
      </c>
      <c r="S75" s="18">
        <f>COUNTIFS(Datasheet!H38:H47,3, Datasheet!O38:O47,1)</f>
        <v>0</v>
      </c>
      <c r="T75" s="18">
        <f>COUNTIFS(Datasheet!H38:H47,3, Datasheet!O38:O47,2)</f>
        <v>0</v>
      </c>
      <c r="U75" s="18">
        <f>COUNTIFS(Datasheet!H38:H47,3, Datasheet!O38:O47,3)</f>
        <v>1</v>
      </c>
      <c r="V75" s="18">
        <f>COUNTIFS(Datasheet!H38:H47,3, Datasheet!O38:O47,4)</f>
        <v>1</v>
      </c>
      <c r="W75" s="18">
        <f t="shared" si="33"/>
        <v>0.2</v>
      </c>
      <c r="Z75" s="34">
        <v>3.0</v>
      </c>
      <c r="AA75" s="18">
        <f>COUNTIFS(Datasheet!I38:I47,3, Datasheet!P38:P47,1)</f>
        <v>0</v>
      </c>
      <c r="AB75" s="18">
        <f>COUNTIFS(Datasheet!I38:I47,3, Datasheet!P38:P47,2)</f>
        <v>2</v>
      </c>
      <c r="AC75" s="18">
        <f>COUNTIFS(Datasheet!I38:I47,3, Datasheet!P38:P47,3)</f>
        <v>1</v>
      </c>
      <c r="AD75" s="18">
        <f>COUNTIFS(Datasheet!I38:I47,3, Datasheet!P38:P47,4)</f>
        <v>0</v>
      </c>
      <c r="AE75" s="18">
        <f t="shared" si="34"/>
        <v>0.3</v>
      </c>
      <c r="AH75" s="34">
        <v>3.0</v>
      </c>
      <c r="AI75" s="18">
        <f>COUNTIFS(Datasheet!J38:J47,3, Datasheet!Q38:Q47,1)</f>
        <v>0</v>
      </c>
      <c r="AJ75" s="18">
        <f>COUNTIFS(Datasheet!J38:J47,3, Datasheet!Q38:Q47,2)</f>
        <v>0</v>
      </c>
      <c r="AK75" s="18">
        <f>COUNTIFS(Datasheet!J38:J47,3, Datasheet!Q38:Q47,3)</f>
        <v>2</v>
      </c>
      <c r="AL75" s="18">
        <f>COUNTIFS(Datasheet!J38:J47,3, Datasheet!Q38:Q47,4)</f>
        <v>0</v>
      </c>
      <c r="AM75" s="18">
        <f t="shared" si="35"/>
        <v>0.2</v>
      </c>
    </row>
    <row r="76">
      <c r="B76" s="34">
        <v>4.0</v>
      </c>
      <c r="C76" s="18">
        <f>COUNTIFS(Datasheet!F38:F47,4, Datasheet!M38:M47,1)</f>
        <v>0</v>
      </c>
      <c r="D76" s="18">
        <f>COUNTIFS(Datasheet!F38:F47,4, Datasheet!M38:M47,2)</f>
        <v>0</v>
      </c>
      <c r="E76" s="18">
        <f>COUNTIFS(Datasheet!F38:F47,4, Datasheet!M38:M47,3)</f>
        <v>1</v>
      </c>
      <c r="F76" s="18">
        <f>COUNTIFS(Datasheet!F38:F47,4, Datasheet!M38:M47,4)</f>
        <v>3</v>
      </c>
      <c r="G76" s="18">
        <f t="shared" si="31"/>
        <v>0.4</v>
      </c>
      <c r="J76" s="34">
        <v>4.0</v>
      </c>
      <c r="K76" s="18">
        <f>COUNTIFS(Datasheet!G38:G47,4, Datasheet!N38:N47,1)</f>
        <v>0</v>
      </c>
      <c r="L76" s="18">
        <f>COUNTIFS(Datasheet!G38:G47,4, Datasheet!N38:N47,2)</f>
        <v>0</v>
      </c>
      <c r="M76" s="18">
        <f>COUNTIFS(Datasheet!G38:G47,4, Datasheet!N38:N47,3)</f>
        <v>2</v>
      </c>
      <c r="N76" s="18">
        <f>COUNTIFS(Datasheet!G38:G47,4, Datasheet!N38:N47,4)</f>
        <v>2</v>
      </c>
      <c r="O76" s="18">
        <f t="shared" si="32"/>
        <v>0.4</v>
      </c>
      <c r="R76" s="34">
        <v>4.0</v>
      </c>
      <c r="S76" s="18">
        <f>COUNTIFS(Datasheet!H38:H47,4, Datasheet!O38:O47,1)</f>
        <v>0</v>
      </c>
      <c r="T76" s="18">
        <f>COUNTIFS(Datasheet!H38:H47,4, Datasheet!O38:O47,2)</f>
        <v>0</v>
      </c>
      <c r="U76" s="18">
        <f>COUNTIFS(Datasheet!H38:H47,4, Datasheet!O38:O47,3)</f>
        <v>0</v>
      </c>
      <c r="V76" s="18">
        <f>COUNTIFS(Datasheet!H38:H47,4, Datasheet!O38:O47,4)</f>
        <v>6</v>
      </c>
      <c r="W76" s="18">
        <f t="shared" si="33"/>
        <v>0.6</v>
      </c>
      <c r="Z76" s="34">
        <v>4.0</v>
      </c>
      <c r="AA76" s="18">
        <f>COUNTIFS(Datasheet!I38:I47,4, Datasheet!P38:P47,1)</f>
        <v>0</v>
      </c>
      <c r="AB76" s="18">
        <f>COUNTIFS(Datasheet!I38:I47,4, Datasheet!P38:P47,2)</f>
        <v>0</v>
      </c>
      <c r="AC76" s="18">
        <f>COUNTIFS(Datasheet!I38:I47,4, Datasheet!P38:P47,3)</f>
        <v>2</v>
      </c>
      <c r="AD76" s="18">
        <f>COUNTIFS(Datasheet!I38:I47,4, Datasheet!P38:P47,4)</f>
        <v>1</v>
      </c>
      <c r="AE76" s="18">
        <f t="shared" si="34"/>
        <v>0.3</v>
      </c>
      <c r="AH76" s="34">
        <v>4.0</v>
      </c>
      <c r="AI76" s="18">
        <f>COUNTIFS(Datasheet!J38:J47,4, Datasheet!Q38:Q47,1)</f>
        <v>0</v>
      </c>
      <c r="AJ76" s="18">
        <f>COUNTIFS(Datasheet!J38:J47,4, Datasheet!Q38:Q47,2)</f>
        <v>0</v>
      </c>
      <c r="AK76" s="18">
        <f>COUNTIFS(Datasheet!J38:J47,4, Datasheet!Q38:Q47,3)</f>
        <v>0</v>
      </c>
      <c r="AL76" s="18">
        <f>COUNTIFS(Datasheet!J38:J47,4, Datasheet!Q38:Q47,4)</f>
        <v>8</v>
      </c>
      <c r="AM76" s="18">
        <f t="shared" si="35"/>
        <v>0.8</v>
      </c>
    </row>
    <row r="77">
      <c r="B77" s="16" t="s">
        <v>297</v>
      </c>
      <c r="C77" s="18">
        <f t="shared" ref="C77:F77" si="36">SUM(C73:C76)/10</f>
        <v>0</v>
      </c>
      <c r="D77" s="18">
        <f t="shared" si="36"/>
        <v>0.1</v>
      </c>
      <c r="E77" s="18">
        <f t="shared" si="36"/>
        <v>0.5</v>
      </c>
      <c r="F77" s="18">
        <f t="shared" si="36"/>
        <v>0.4</v>
      </c>
      <c r="G77" s="18">
        <f>SUM(G73:G76)</f>
        <v>1</v>
      </c>
      <c r="J77" s="16" t="s">
        <v>297</v>
      </c>
      <c r="K77" s="18">
        <f t="shared" ref="K77:N77" si="37">SUM(K73:K76)/10</f>
        <v>0</v>
      </c>
      <c r="L77" s="18">
        <f t="shared" si="37"/>
        <v>0.1</v>
      </c>
      <c r="M77" s="18">
        <f t="shared" si="37"/>
        <v>0.5</v>
      </c>
      <c r="N77" s="18">
        <f t="shared" si="37"/>
        <v>0.4</v>
      </c>
      <c r="O77" s="18">
        <f>SUM(O73:O76)</f>
        <v>1</v>
      </c>
      <c r="R77" s="16" t="s">
        <v>297</v>
      </c>
      <c r="S77" s="18">
        <f t="shared" ref="S77:V77" si="38">SUM(S73:S76)/10</f>
        <v>0</v>
      </c>
      <c r="T77" s="18">
        <f t="shared" si="38"/>
        <v>0.1</v>
      </c>
      <c r="U77" s="18">
        <f t="shared" si="38"/>
        <v>0.2</v>
      </c>
      <c r="V77" s="18">
        <f t="shared" si="38"/>
        <v>0.7</v>
      </c>
      <c r="W77" s="18">
        <f>SUM(W73:W76)</f>
        <v>1</v>
      </c>
      <c r="Z77" s="16" t="s">
        <v>297</v>
      </c>
      <c r="AA77" s="18">
        <f t="shared" ref="AA77:AD77" si="39">SUM(AA73:AA76)/10</f>
        <v>0</v>
      </c>
      <c r="AB77" s="18">
        <f t="shared" si="39"/>
        <v>0.5</v>
      </c>
      <c r="AC77" s="18">
        <f t="shared" si="39"/>
        <v>0.4</v>
      </c>
      <c r="AD77" s="18">
        <f t="shared" si="39"/>
        <v>0.1</v>
      </c>
      <c r="AE77" s="18">
        <f>SUM(AE73:AE76)</f>
        <v>1</v>
      </c>
      <c r="AH77" s="16" t="s">
        <v>297</v>
      </c>
      <c r="AI77" s="18">
        <f t="shared" ref="AI77:AL77" si="40">SUM(AI73:AI76)/10</f>
        <v>0</v>
      </c>
      <c r="AJ77" s="18">
        <f t="shared" si="40"/>
        <v>0</v>
      </c>
      <c r="AK77" s="18">
        <f t="shared" si="40"/>
        <v>0.2</v>
      </c>
      <c r="AL77" s="18">
        <f t="shared" si="40"/>
        <v>0.8</v>
      </c>
      <c r="AM77" s="18">
        <f>SUM(AM73:AM76)</f>
        <v>1</v>
      </c>
    </row>
    <row r="79">
      <c r="A79" s="1" t="s">
        <v>298</v>
      </c>
      <c r="C79" s="15">
        <f>(G73*C77)*10</f>
        <v>0</v>
      </c>
      <c r="D79" s="15">
        <f>(G73*D77)*10</f>
        <v>0</v>
      </c>
      <c r="E79" s="15">
        <f>(G73*E77)*10</f>
        <v>0</v>
      </c>
      <c r="F79" s="15">
        <f>(G73*F77)*10</f>
        <v>0</v>
      </c>
      <c r="I79" s="1" t="s">
        <v>298</v>
      </c>
      <c r="K79" s="15">
        <f>(O73*K77)*10</f>
        <v>0</v>
      </c>
      <c r="L79" s="15">
        <f>(O73*L77)*10</f>
        <v>0</v>
      </c>
      <c r="M79" s="15">
        <f>(O73*M77)*10</f>
        <v>0</v>
      </c>
      <c r="N79" s="15">
        <f>(O73*N77)*10</f>
        <v>0</v>
      </c>
      <c r="Q79" s="1" t="s">
        <v>298</v>
      </c>
      <c r="S79" s="15">
        <f>(W73*S77)*10</f>
        <v>0</v>
      </c>
      <c r="T79" s="15">
        <f>(W73*T77)*10</f>
        <v>0</v>
      </c>
      <c r="U79" s="15">
        <f>(W73*U77)*10</f>
        <v>0</v>
      </c>
      <c r="V79" s="15">
        <f>(W73*V77)*10</f>
        <v>0</v>
      </c>
      <c r="Y79" s="1" t="s">
        <v>298</v>
      </c>
      <c r="AA79" s="15">
        <f>(AE73*AA77)*10</f>
        <v>0</v>
      </c>
      <c r="AB79" s="15">
        <f>(AE73*AB77)*10</f>
        <v>0</v>
      </c>
      <c r="AC79" s="15">
        <f>(AE73*AC77)*10</f>
        <v>0</v>
      </c>
      <c r="AD79" s="15">
        <f>(AE73*AD77)*10</f>
        <v>0</v>
      </c>
      <c r="AG79" s="1" t="s">
        <v>298</v>
      </c>
      <c r="AI79" s="15">
        <f>(AM73*AI77)*10</f>
        <v>0</v>
      </c>
      <c r="AJ79" s="15">
        <f>(AM73*AJ77)*10</f>
        <v>0</v>
      </c>
      <c r="AK79" s="15">
        <f>(AM73*AK77)*10</f>
        <v>0</v>
      </c>
      <c r="AL79" s="15">
        <f>(AM73*AL77)*10</f>
        <v>0</v>
      </c>
    </row>
    <row r="80">
      <c r="C80" s="15">
        <f>(G74*C77)*10</f>
        <v>0</v>
      </c>
      <c r="D80" s="15">
        <f>(G74*D77)*10</f>
        <v>0.1</v>
      </c>
      <c r="E80" s="15">
        <f>(G74*E77)*10</f>
        <v>0.5</v>
      </c>
      <c r="F80" s="15">
        <f>(G74*F77)*10</f>
        <v>0.4</v>
      </c>
      <c r="K80" s="15">
        <f>(O74*K77)*10</f>
        <v>0</v>
      </c>
      <c r="L80" s="15">
        <f>(O74*L77)*10</f>
        <v>0.1</v>
      </c>
      <c r="M80" s="15">
        <f>(O74*M77)*10</f>
        <v>0.5</v>
      </c>
      <c r="N80" s="15">
        <f>(O74*N77)*10</f>
        <v>0.4</v>
      </c>
      <c r="S80" s="15">
        <f>(W74*S77)*10</f>
        <v>0</v>
      </c>
      <c r="T80" s="15">
        <f>(W74*T77)*10</f>
        <v>0.2</v>
      </c>
      <c r="U80" s="15">
        <f>(W74*U77)*10</f>
        <v>0.4</v>
      </c>
      <c r="V80" s="15">
        <f>(W74*V77)*10</f>
        <v>1.4</v>
      </c>
      <c r="AA80" s="15">
        <f>(AE74*AA77)*10</f>
        <v>0</v>
      </c>
      <c r="AB80" s="15">
        <f>(AE74*AB77)*10</f>
        <v>2</v>
      </c>
      <c r="AC80" s="15">
        <f>(AE74*AC77)*10</f>
        <v>1.6</v>
      </c>
      <c r="AD80" s="15">
        <f>(AE74*AD77)*10</f>
        <v>0.4</v>
      </c>
      <c r="AI80" s="15">
        <f>(AM74*AI77)*10</f>
        <v>0</v>
      </c>
      <c r="AJ80" s="15">
        <f>(AM74*AJ77)*10</f>
        <v>0</v>
      </c>
      <c r="AK80" s="15">
        <f>(AM74*AK77)*10</f>
        <v>0</v>
      </c>
      <c r="AL80" s="15">
        <f>(AM74*AL77)*10</f>
        <v>0</v>
      </c>
    </row>
    <row r="81">
      <c r="C81" s="15">
        <f>(G75*C77)*10</f>
        <v>0</v>
      </c>
      <c r="D81" s="15">
        <f>(G75*D77)*10</f>
        <v>0.5</v>
      </c>
      <c r="E81" s="15">
        <f>(G75*E77)*10</f>
        <v>2.5</v>
      </c>
      <c r="F81" s="15">
        <f>(G75*F77)*10</f>
        <v>2</v>
      </c>
      <c r="K81" s="15">
        <f>(O75*K77)*10</f>
        <v>0</v>
      </c>
      <c r="L81" s="15">
        <f>(O75*L77)*10</f>
        <v>0.5</v>
      </c>
      <c r="M81" s="15">
        <f>(O75*M77)*10</f>
        <v>2.5</v>
      </c>
      <c r="N81" s="15">
        <f>(O75*N77)*10</f>
        <v>2</v>
      </c>
      <c r="S81" s="15">
        <f>(W75*S77)*10</f>
        <v>0</v>
      </c>
      <c r="T81" s="15">
        <f>(W75*T77)*10</f>
        <v>0.2</v>
      </c>
      <c r="U81" s="15">
        <f>(W75*U77)*10</f>
        <v>0.4</v>
      </c>
      <c r="V81" s="15">
        <f>(W75*V77)*10</f>
        <v>1.4</v>
      </c>
      <c r="AA81" s="15">
        <f>(AE75*AA77)*10</f>
        <v>0</v>
      </c>
      <c r="AB81" s="15">
        <f>(AE75*AB77)*10</f>
        <v>1.5</v>
      </c>
      <c r="AC81" s="15">
        <f>(AE75*AC77)*10</f>
        <v>1.2</v>
      </c>
      <c r="AD81" s="15">
        <f>(AE75*AD77)*10</f>
        <v>0.3</v>
      </c>
      <c r="AI81" s="15">
        <f>(AM75*AI77)*10</f>
        <v>0</v>
      </c>
      <c r="AJ81" s="15">
        <f>(AM75*AJ77)*10</f>
        <v>0</v>
      </c>
      <c r="AK81" s="15">
        <f>(AM75*AK77)*10</f>
        <v>0.4</v>
      </c>
      <c r="AL81" s="15">
        <f>(AM75*AL77)*10</f>
        <v>1.6</v>
      </c>
    </row>
    <row r="82">
      <c r="C82" s="15">
        <f>(G76*C77)*10</f>
        <v>0</v>
      </c>
      <c r="D82" s="15">
        <f>(G76*D77)*10</f>
        <v>0.4</v>
      </c>
      <c r="E82" s="15">
        <f>(G76*E77)*10</f>
        <v>2</v>
      </c>
      <c r="F82" s="15">
        <f>(G76*F77)*10</f>
        <v>1.6</v>
      </c>
      <c r="K82" s="15">
        <f>(O76*K77)*10</f>
        <v>0</v>
      </c>
      <c r="L82" s="15">
        <f>(O76*L77)*10</f>
        <v>0.4</v>
      </c>
      <c r="M82" s="15">
        <f>(O76*M77)*10</f>
        <v>2</v>
      </c>
      <c r="N82" s="15">
        <f>(O76*N77)*10</f>
        <v>1.6</v>
      </c>
      <c r="S82" s="15">
        <f>(W76*S77)*10</f>
        <v>0</v>
      </c>
      <c r="T82" s="15">
        <f>(W76*T77)*10</f>
        <v>0.6</v>
      </c>
      <c r="U82" s="15">
        <f>(W76*U77)*10</f>
        <v>1.2</v>
      </c>
      <c r="V82" s="15">
        <f>(W76*V77)*10</f>
        <v>4.2</v>
      </c>
      <c r="AA82" s="15">
        <f>(AE76*AA77)*10</f>
        <v>0</v>
      </c>
      <c r="AB82" s="15">
        <f>(AE76*AB77)*10</f>
        <v>1.5</v>
      </c>
      <c r="AC82" s="15">
        <f>(AE76*AC77)*10</f>
        <v>1.2</v>
      </c>
      <c r="AD82" s="15">
        <f>(AE76*AD77)*10</f>
        <v>0.3</v>
      </c>
      <c r="AI82" s="15">
        <f>(AM76*AI77)*10</f>
        <v>0</v>
      </c>
      <c r="AJ82" s="15">
        <f>(AM76*AJ77)*10</f>
        <v>0</v>
      </c>
      <c r="AK82" s="15">
        <f>(AM76*AK77)*10</f>
        <v>1.6</v>
      </c>
      <c r="AL82" s="15">
        <f>(AM76*AL77)*10</f>
        <v>6.4</v>
      </c>
    </row>
    <row r="84">
      <c r="A84" s="1" t="s">
        <v>299</v>
      </c>
      <c r="C84" s="35">
        <f>((B73-C72)^2)/((4-1)^2)</f>
        <v>0</v>
      </c>
      <c r="D84" s="15">
        <f>((B73-D72)^2)/((4-1)^2)</f>
        <v>0.1111111111</v>
      </c>
      <c r="E84" s="15">
        <f>((B73-E72)^2)/((4-1)^2)</f>
        <v>0.4444444444</v>
      </c>
      <c r="F84" s="18">
        <f>((B73-F72)^2)/((4-1)^2)</f>
        <v>1</v>
      </c>
      <c r="I84" s="1" t="s">
        <v>299</v>
      </c>
      <c r="K84" s="35">
        <f>((J73-K72)^2)/((4-1)^2)</f>
        <v>0</v>
      </c>
      <c r="L84" s="15">
        <f>((J73-L72)^2)/((4-1)^2)</f>
        <v>0.1111111111</v>
      </c>
      <c r="M84" s="15">
        <f>((J73-M72)^2)/((4-1)^2)</f>
        <v>0.4444444444</v>
      </c>
      <c r="N84" s="18">
        <f>((J73-N72)^2)/((4-1)^2)</f>
        <v>1</v>
      </c>
      <c r="Q84" s="1" t="s">
        <v>299</v>
      </c>
      <c r="S84" s="35">
        <f>((R73-S72)^2)/((4-1)^2)</f>
        <v>0</v>
      </c>
      <c r="T84" s="15">
        <f>((R73-T72)^2)/((4-1)^2)</f>
        <v>0.1111111111</v>
      </c>
      <c r="U84" s="15">
        <f>((R73-U72)^2)/((4-1)^2)</f>
        <v>0.4444444444</v>
      </c>
      <c r="V84" s="18">
        <f>((R73-V72)^2)/((4-1)^2)</f>
        <v>1</v>
      </c>
      <c r="Y84" s="1" t="s">
        <v>299</v>
      </c>
      <c r="AA84" s="35">
        <f>((Z73-AA72)^2)/((4-1)^2)</f>
        <v>0</v>
      </c>
      <c r="AB84" s="15">
        <f>((Z73-AB72)^2)/((4-1)^2)</f>
        <v>0.1111111111</v>
      </c>
      <c r="AC84" s="15">
        <f>((Z73-AC72)^2)/((4-1)^2)</f>
        <v>0.4444444444</v>
      </c>
      <c r="AD84" s="18">
        <f>((Z73-AD72)^2)/((4-1)^2)</f>
        <v>1</v>
      </c>
      <c r="AG84" s="1" t="s">
        <v>299</v>
      </c>
      <c r="AI84" s="35">
        <f>((AH73-AI72)^2)/((4-1)^2)</f>
        <v>0</v>
      </c>
      <c r="AJ84" s="15">
        <f>((AH73-AJ72)^2)/((4-1)^2)</f>
        <v>0.1111111111</v>
      </c>
      <c r="AK84" s="15">
        <f>((AH73-AK72)^2)/((4-1)^2)</f>
        <v>0.4444444444</v>
      </c>
      <c r="AL84" s="18">
        <f>((AH73-AL72)^2)/((4-1)^2)</f>
        <v>1</v>
      </c>
    </row>
    <row r="85">
      <c r="C85" s="15">
        <f>((B74-C72)^2)/((4-1)^2)</f>
        <v>0.1111111111</v>
      </c>
      <c r="D85" s="18">
        <f>((B74-D72)^2)/((4-1)^2)</f>
        <v>0</v>
      </c>
      <c r="E85" s="15">
        <f>((B74-E72)^2)/((4-1)^2)</f>
        <v>0.1111111111</v>
      </c>
      <c r="F85" s="15">
        <f>((B74-F72)^2)/((4-1)^2)</f>
        <v>0.4444444444</v>
      </c>
      <c r="K85" s="15">
        <f>((J74-K72)^2)/((4-1)^2)</f>
        <v>0.1111111111</v>
      </c>
      <c r="L85" s="18">
        <f>((J74-L72)^2)/((4-1)^2)</f>
        <v>0</v>
      </c>
      <c r="M85" s="15">
        <f>((J74-M72)^2)/((4-1)^2)</f>
        <v>0.1111111111</v>
      </c>
      <c r="N85" s="15">
        <f>((J74-N72)^2)/((4-1)^2)</f>
        <v>0.4444444444</v>
      </c>
      <c r="S85" s="15">
        <f>((R74-S72)^2)/((4-1)^2)</f>
        <v>0.1111111111</v>
      </c>
      <c r="T85" s="18">
        <f>((R74-T72)^2)/((4-1)^2)</f>
        <v>0</v>
      </c>
      <c r="U85" s="15">
        <f>((R74-U72)^2)/((4-1)^2)</f>
        <v>0.1111111111</v>
      </c>
      <c r="V85" s="15">
        <f>((R74-V72)^2)/((4-1)^2)</f>
        <v>0.4444444444</v>
      </c>
      <c r="AA85" s="15">
        <f>((Z74-AA72)^2)/((4-1)^2)</f>
        <v>0.1111111111</v>
      </c>
      <c r="AB85" s="18">
        <f>((Z74-AB72)^2)/((4-1)^2)</f>
        <v>0</v>
      </c>
      <c r="AC85" s="15">
        <f>((Z74-AC72)^2)/((4-1)^2)</f>
        <v>0.1111111111</v>
      </c>
      <c r="AD85" s="15">
        <f>((Z74-AD72)^2)/((4-1)^2)</f>
        <v>0.4444444444</v>
      </c>
      <c r="AI85" s="15">
        <f>((AH74-AI72)^2)/((4-1)^2)</f>
        <v>0.1111111111</v>
      </c>
      <c r="AJ85" s="18">
        <f>((AH74-AJ72)^2)/((4-1)^2)</f>
        <v>0</v>
      </c>
      <c r="AK85" s="15">
        <f>((AH74-AK72)^2)/((4-1)^2)</f>
        <v>0.1111111111</v>
      </c>
      <c r="AL85" s="15">
        <f>((AH74-AL72)^2)/((4-1)^2)</f>
        <v>0.4444444444</v>
      </c>
    </row>
    <row r="86">
      <c r="C86" s="15">
        <f>((B75-C72)^2)/((4-1)^2)</f>
        <v>0.4444444444</v>
      </c>
      <c r="D86" s="15">
        <f>((B75-D72)^2)/((4-1)^2)</f>
        <v>0.1111111111</v>
      </c>
      <c r="E86" s="18">
        <f>((B75-E72)^2)/((4-1)^2)</f>
        <v>0</v>
      </c>
      <c r="F86" s="15">
        <f>((B75-F72)^2)/((4-1)^2)</f>
        <v>0.1111111111</v>
      </c>
      <c r="K86" s="15">
        <f>((J75-K72)^2)/((4-1)^2)</f>
        <v>0.4444444444</v>
      </c>
      <c r="L86" s="15">
        <f>((J75-L72)^2)/((4-1)^2)</f>
        <v>0.1111111111</v>
      </c>
      <c r="M86" s="18">
        <f>((J75-M72)^2)/((4-1)^2)</f>
        <v>0</v>
      </c>
      <c r="N86" s="15">
        <f>((J75-N72)^2)/((4-1)^2)</f>
        <v>0.1111111111</v>
      </c>
      <c r="S86" s="15">
        <f>((R75-S72)^2)/((4-1)^2)</f>
        <v>0.4444444444</v>
      </c>
      <c r="T86" s="15">
        <f>((R75-T72)^2)/((4-1)^2)</f>
        <v>0.1111111111</v>
      </c>
      <c r="U86" s="18">
        <f>((R75-U72)^2)/((4-1)^2)</f>
        <v>0</v>
      </c>
      <c r="V86" s="15">
        <f>((R75-V72)^2)/((4-1)^2)</f>
        <v>0.1111111111</v>
      </c>
      <c r="AA86" s="15">
        <f>((Z75-AA72)^2)/((4-1)^2)</f>
        <v>0.4444444444</v>
      </c>
      <c r="AB86" s="15">
        <f>((Z75-AB72)^2)/((4-1)^2)</f>
        <v>0.1111111111</v>
      </c>
      <c r="AC86" s="18">
        <f>((Z75-AC72)^2)/((4-1)^2)</f>
        <v>0</v>
      </c>
      <c r="AD86" s="15">
        <f>((Z75-AD72)^2)/((4-1)^2)</f>
        <v>0.1111111111</v>
      </c>
      <c r="AI86" s="15">
        <f>((AH75-AI72)^2)/((4-1)^2)</f>
        <v>0.4444444444</v>
      </c>
      <c r="AJ86" s="15">
        <f>((AH75-AJ72)^2)/((4-1)^2)</f>
        <v>0.1111111111</v>
      </c>
      <c r="AK86" s="18">
        <f>((AH75-AK72)^2)/((4-1)^2)</f>
        <v>0</v>
      </c>
      <c r="AL86" s="15">
        <f>((AH75-AL72)^2)/((4-1)^2)</f>
        <v>0.1111111111</v>
      </c>
    </row>
    <row r="87">
      <c r="C87" s="36">
        <f>((B76-C72)^2)/((4-1)^2)</f>
        <v>1</v>
      </c>
      <c r="D87" s="15">
        <f>((B76-D72)^2)/((4-1)^2)</f>
        <v>0.4444444444</v>
      </c>
      <c r="E87" s="15">
        <f>((B76-E72)^2)/((4-1)^2)</f>
        <v>0.1111111111</v>
      </c>
      <c r="F87" s="18">
        <f>((B76-F72)^2)/((4-1)^2)</f>
        <v>0</v>
      </c>
      <c r="K87" s="36">
        <f>((J76-K72)^2)/((4-1)^2)</f>
        <v>1</v>
      </c>
      <c r="L87" s="15">
        <f>((J76-L72)^2)/((4-1)^2)</f>
        <v>0.4444444444</v>
      </c>
      <c r="M87" s="15">
        <f>((J76-M72)^2)/((4-1)^2)</f>
        <v>0.1111111111</v>
      </c>
      <c r="N87" s="18">
        <f>((J76-N72)^2)/((4-1)^2)</f>
        <v>0</v>
      </c>
      <c r="S87" s="36">
        <f>((R76-S72)^2)/((4-1)^2)</f>
        <v>1</v>
      </c>
      <c r="T87" s="15">
        <f>((R76-T72)^2)/((4-1)^2)</f>
        <v>0.4444444444</v>
      </c>
      <c r="U87" s="15">
        <f>((R76-U72)^2)/((4-1)^2)</f>
        <v>0.1111111111</v>
      </c>
      <c r="V87" s="18">
        <f>((R76-V72)^2)/((4-1)^2)</f>
        <v>0</v>
      </c>
      <c r="AA87" s="36">
        <f>((Z76-AA72)^2)/((4-1)^2)</f>
        <v>1</v>
      </c>
      <c r="AB87" s="15">
        <f>((Z76-AB72)^2)/((4-1)^2)</f>
        <v>0.4444444444</v>
      </c>
      <c r="AC87" s="15">
        <f>((Z76-AC72)^2)/((4-1)^2)</f>
        <v>0.1111111111</v>
      </c>
      <c r="AD87" s="18">
        <f>((Z76-AD72)^2)/((4-1)^2)</f>
        <v>0</v>
      </c>
      <c r="AI87" s="36">
        <f>((AH76-AI72)^2)/((4-1)^2)</f>
        <v>1</v>
      </c>
      <c r="AJ87" s="15">
        <f>((AH76-AJ72)^2)/((4-1)^2)</f>
        <v>0.4444444444</v>
      </c>
      <c r="AK87" s="15">
        <f>((AH76-AK72)^2)/((4-1)^2)</f>
        <v>0.1111111111</v>
      </c>
      <c r="AL87" s="18">
        <f>((AH76-AL72)^2)/((4-1)^2)</f>
        <v>0</v>
      </c>
    </row>
    <row r="89">
      <c r="A89" s="1" t="s">
        <v>300</v>
      </c>
      <c r="B89" s="37">
        <f>1-SUMPRODUCT(C73:F76,C84:F87)/SUMPRODUCT(C79:F82,C84:F87)</f>
        <v>0.756097561</v>
      </c>
      <c r="I89" s="1" t="s">
        <v>300</v>
      </c>
      <c r="J89" s="37">
        <f>1-SUMPRODUCT(K73:N76,K84:N87)/SUMPRODUCT(K79:N82,K84:N87)</f>
        <v>0.512195122</v>
      </c>
      <c r="Q89" s="1" t="s">
        <v>300</v>
      </c>
      <c r="R89" s="37">
        <f>1-SUMPRODUCT(S73:V76,S84:V87)/SUMPRODUCT(S79:V82,S84:V87)</f>
        <v>0.8214285714</v>
      </c>
      <c r="Y89" s="1" t="s">
        <v>300</v>
      </c>
      <c r="Z89" s="37">
        <f>1-SUMPRODUCT(AA73:AD76,AA84:AD87)/SUMPRODUCT(AA79:AD82,AA84:AD87)</f>
        <v>0.5901639344</v>
      </c>
      <c r="AG89" s="1" t="s">
        <v>300</v>
      </c>
      <c r="AH89" s="37">
        <f>1-SUMPRODUCT(AI73:AL76,AI84:AL87)/SUMPRODUCT(AI79:AL82,AI84:AL87)</f>
        <v>1</v>
      </c>
    </row>
    <row r="92">
      <c r="A92" s="31" t="s">
        <v>247</v>
      </c>
      <c r="B92" s="32"/>
      <c r="C92" s="32"/>
      <c r="D92" s="32"/>
      <c r="E92" s="32"/>
      <c r="F92" s="32"/>
      <c r="G92" s="32"/>
      <c r="H92" s="32"/>
      <c r="I92" s="31" t="s">
        <v>247</v>
      </c>
      <c r="J92" s="32"/>
      <c r="K92" s="32"/>
      <c r="L92" s="32"/>
      <c r="M92" s="32"/>
      <c r="N92" s="32"/>
      <c r="O92" s="32"/>
      <c r="P92" s="32"/>
      <c r="Q92" s="31" t="s">
        <v>247</v>
      </c>
      <c r="R92" s="32"/>
      <c r="S92" s="32"/>
      <c r="T92" s="32"/>
      <c r="U92" s="32"/>
      <c r="V92" s="32"/>
      <c r="W92" s="32"/>
      <c r="X92" s="32"/>
      <c r="Y92" s="31" t="s">
        <v>247</v>
      </c>
      <c r="Z92" s="32"/>
      <c r="AA92" s="32"/>
      <c r="AB92" s="32"/>
      <c r="AC92" s="32"/>
      <c r="AD92" s="32"/>
      <c r="AE92" s="32"/>
      <c r="AF92" s="32"/>
      <c r="AG92" s="31" t="s">
        <v>247</v>
      </c>
      <c r="AH92" s="32"/>
      <c r="AI92" s="32"/>
      <c r="AJ92" s="32"/>
      <c r="AK92" s="32"/>
      <c r="AL92" s="32"/>
      <c r="AM92" s="32"/>
    </row>
    <row r="93">
      <c r="D93" s="2" t="s">
        <v>11</v>
      </c>
      <c r="L93" s="2" t="s">
        <v>12</v>
      </c>
      <c r="T93" s="2" t="s">
        <v>13</v>
      </c>
      <c r="AB93" s="2" t="s">
        <v>14</v>
      </c>
      <c r="AJ93" s="2" t="s">
        <v>15</v>
      </c>
    </row>
    <row r="94">
      <c r="A94" s="1" t="s">
        <v>296</v>
      </c>
      <c r="D94" s="33" t="s">
        <v>6</v>
      </c>
      <c r="I94" s="1" t="s">
        <v>296</v>
      </c>
      <c r="L94" s="33" t="s">
        <v>6</v>
      </c>
      <c r="Q94" s="1" t="s">
        <v>296</v>
      </c>
      <c r="T94" s="33" t="s">
        <v>6</v>
      </c>
      <c r="Y94" s="1" t="s">
        <v>296</v>
      </c>
      <c r="AB94" s="33" t="s">
        <v>6</v>
      </c>
      <c r="AG94" s="1" t="s">
        <v>296</v>
      </c>
      <c r="AJ94" s="33" t="s">
        <v>6</v>
      </c>
    </row>
    <row r="95">
      <c r="B95" s="18"/>
      <c r="C95" s="34">
        <v>1.0</v>
      </c>
      <c r="D95" s="34">
        <v>2.0</v>
      </c>
      <c r="E95" s="34">
        <v>3.0</v>
      </c>
      <c r="F95" s="34">
        <v>4.0</v>
      </c>
      <c r="G95" s="16" t="s">
        <v>297</v>
      </c>
      <c r="J95" s="18"/>
      <c r="K95" s="34">
        <v>1.0</v>
      </c>
      <c r="L95" s="34">
        <v>2.0</v>
      </c>
      <c r="M95" s="34">
        <v>3.0</v>
      </c>
      <c r="N95" s="34">
        <v>4.0</v>
      </c>
      <c r="O95" s="16" t="s">
        <v>297</v>
      </c>
      <c r="R95" s="18"/>
      <c r="S95" s="34">
        <v>1.0</v>
      </c>
      <c r="T95" s="34">
        <v>2.0</v>
      </c>
      <c r="U95" s="34">
        <v>3.0</v>
      </c>
      <c r="V95" s="34">
        <v>4.0</v>
      </c>
      <c r="W95" s="16" t="s">
        <v>297</v>
      </c>
      <c r="Z95" s="18"/>
      <c r="AA95" s="34">
        <v>1.0</v>
      </c>
      <c r="AB95" s="34">
        <v>2.0</v>
      </c>
      <c r="AC95" s="34">
        <v>3.0</v>
      </c>
      <c r="AD95" s="34">
        <v>4.0</v>
      </c>
      <c r="AE95" s="16" t="s">
        <v>297</v>
      </c>
      <c r="AH95" s="18"/>
      <c r="AI95" s="34">
        <v>1.0</v>
      </c>
      <c r="AJ95" s="34">
        <v>2.0</v>
      </c>
      <c r="AK95" s="34">
        <v>3.0</v>
      </c>
      <c r="AL95" s="34">
        <v>4.0</v>
      </c>
      <c r="AM95" s="16" t="s">
        <v>297</v>
      </c>
    </row>
    <row r="96">
      <c r="B96" s="34">
        <v>1.0</v>
      </c>
      <c r="C96" s="18">
        <f>COUNTIFS(Datasheet!F49:F58,1, Datasheet!M49:M58,1)</f>
        <v>0</v>
      </c>
      <c r="D96" s="18">
        <f>COUNTIFS(Datasheet!F49:F58,1, Datasheet!M49:M58,2)</f>
        <v>0</v>
      </c>
      <c r="E96" s="18">
        <f>COUNTIFS(Datasheet!F49:F58,1, Datasheet!M49:M58,3)</f>
        <v>0</v>
      </c>
      <c r="F96" s="18">
        <f>COUNTIFS(Datasheet!F49:F58,1, Datasheet!M49:M58,4)</f>
        <v>0</v>
      </c>
      <c r="G96" s="18">
        <f t="shared" ref="G96:G99" si="41">SUM(C96, D96, E96, F96)/10</f>
        <v>0</v>
      </c>
      <c r="J96" s="34">
        <v>1.0</v>
      </c>
      <c r="K96" s="18">
        <f>COUNTIFS(Datasheet!G49:G58,1, Datasheet!N49:N58,1)</f>
        <v>0</v>
      </c>
      <c r="L96" s="18">
        <f>COUNTIFS(Datasheet!G49:G58,1, Datasheet!N49:N58,2)</f>
        <v>0</v>
      </c>
      <c r="M96" s="18">
        <f>COUNTIFS(Datasheet!G49:G58,1, Datasheet!N49:N58,3)</f>
        <v>0</v>
      </c>
      <c r="N96" s="18">
        <f>COUNTIFS(Datasheet!G49:G58,1, Datasheet!N49:N58,4)</f>
        <v>0</v>
      </c>
      <c r="O96" s="18">
        <f t="shared" ref="O96:O99" si="42">SUM(K96, L96, M96, N96)/10</f>
        <v>0</v>
      </c>
      <c r="R96" s="34">
        <v>1.0</v>
      </c>
      <c r="S96" s="18">
        <f>COUNTIFS(Datasheet!H49:H58,1, Datasheet!O49:O58,1)</f>
        <v>0</v>
      </c>
      <c r="T96" s="18">
        <f>COUNTIFS(Datasheet!H49:H58,1, Datasheet!O49:O58,2)</f>
        <v>0</v>
      </c>
      <c r="U96" s="18">
        <f>COUNTIFS(Datasheet!H49:H58,1, Datasheet!O49:O58,3)</f>
        <v>0</v>
      </c>
      <c r="V96" s="18">
        <f>COUNTIFS(Datasheet!H49:H58,1, Datasheet!O49:O58,4)</f>
        <v>0</v>
      </c>
      <c r="W96" s="18">
        <f t="shared" ref="W96:W99" si="43">SUM(S96, T96, U96, V96)/10</f>
        <v>0</v>
      </c>
      <c r="Z96" s="34">
        <v>1.0</v>
      </c>
      <c r="AA96" s="18">
        <f>COUNTIFS(Datasheet!I49:I58,1, Datasheet!P49:P58,1)</f>
        <v>0</v>
      </c>
      <c r="AB96" s="18">
        <f>COUNTIFS(Datasheet!I49:I58,1, Datasheet!P49:P58,2)</f>
        <v>0</v>
      </c>
      <c r="AC96" s="18">
        <f>COUNTIFS(Datasheet!I49:I58,1, Datasheet!P49:P58,3)</f>
        <v>0</v>
      </c>
      <c r="AD96" s="18">
        <f>COUNTIFS(Datasheet!I49:I58,1, Datasheet!P49:P58,4)</f>
        <v>0</v>
      </c>
      <c r="AE96" s="18">
        <f t="shared" ref="AE96:AE99" si="44">SUM(AA96, AB96, AC96, AD96)/10</f>
        <v>0</v>
      </c>
      <c r="AH96" s="34">
        <v>1.0</v>
      </c>
      <c r="AI96" s="18">
        <f>COUNTIFS(Datasheet!J49:J58,1, Datasheet!Q49:Q58,1)</f>
        <v>0</v>
      </c>
      <c r="AJ96" s="18">
        <f>COUNTIFS(Datasheet!J49:J58,1, Datasheet!Q49:Q58,2)</f>
        <v>0</v>
      </c>
      <c r="AK96" s="18">
        <f>COUNTIFS(Datasheet!J49:J58,1, Datasheet!Q49:Q58,3)</f>
        <v>0</v>
      </c>
      <c r="AL96" s="18">
        <f>COUNTIFS(Datasheet!J49:J58,1, Datasheet!Q49:Q58,4)</f>
        <v>0</v>
      </c>
      <c r="AM96" s="18">
        <f t="shared" ref="AM96:AM99" si="45">SUM(AI96, AJ96, AK96, AL96)/10</f>
        <v>0</v>
      </c>
    </row>
    <row r="97">
      <c r="A97" s="33" t="s">
        <v>5</v>
      </c>
      <c r="B97" s="34">
        <v>2.0</v>
      </c>
      <c r="C97" s="18">
        <f>COUNTIFS(Datasheet!F49:F58,2, Datasheet!M49:M58,1)</f>
        <v>0</v>
      </c>
      <c r="D97" s="18">
        <f>COUNTIFS(Datasheet!F49:F58,2, Datasheet!M49:M58,2)</f>
        <v>0</v>
      </c>
      <c r="E97" s="18">
        <f>COUNTIFS(Datasheet!F49:F58,2, Datasheet!M49:M58,3)</f>
        <v>0</v>
      </c>
      <c r="F97" s="18">
        <f>COUNTIFS(Datasheet!F49:F58,2, Datasheet!M49:M58,4)</f>
        <v>0</v>
      </c>
      <c r="G97" s="18">
        <f t="shared" si="41"/>
        <v>0</v>
      </c>
      <c r="I97" s="33" t="s">
        <v>5</v>
      </c>
      <c r="J97" s="34">
        <v>2.0</v>
      </c>
      <c r="K97" s="18">
        <f>COUNTIFS(Datasheet!G49:G58,2, Datasheet!N49:N58,1)</f>
        <v>0</v>
      </c>
      <c r="L97" s="18">
        <f>COUNTIFS(Datasheet!G49:G58,2, Datasheet!N49:N58,2)</f>
        <v>0</v>
      </c>
      <c r="M97" s="18">
        <f>COUNTIFS(Datasheet!G49:G58,2, Datasheet!N49:N58,3)</f>
        <v>0</v>
      </c>
      <c r="N97" s="18">
        <f>COUNTIFS(Datasheet!G49:G58,2, Datasheet!N49:N58,4)</f>
        <v>0</v>
      </c>
      <c r="O97" s="18">
        <f t="shared" si="42"/>
        <v>0</v>
      </c>
      <c r="Q97" s="33" t="s">
        <v>5</v>
      </c>
      <c r="R97" s="34">
        <v>2.0</v>
      </c>
      <c r="S97" s="18">
        <f>COUNTIFS(Datasheet!H49:H58,2, Datasheet!O49:O58,1)</f>
        <v>0</v>
      </c>
      <c r="T97" s="18">
        <f>COUNTIFS(Datasheet!H49:H58,2, Datasheet!O49:O58,2)</f>
        <v>0</v>
      </c>
      <c r="U97" s="18">
        <f>COUNTIFS(Datasheet!H49:H58,2, Datasheet!O49:O58,3)</f>
        <v>0</v>
      </c>
      <c r="V97" s="18">
        <f>COUNTIFS(Datasheet!H49:H58,2, Datasheet!O49:O58,4)</f>
        <v>0</v>
      </c>
      <c r="W97" s="18">
        <f t="shared" si="43"/>
        <v>0</v>
      </c>
      <c r="Y97" s="33" t="s">
        <v>5</v>
      </c>
      <c r="Z97" s="34">
        <v>2.0</v>
      </c>
      <c r="AA97" s="18">
        <f>COUNTIFS(Datasheet!I49:I58,2, Datasheet!P49:P58,1)</f>
        <v>0</v>
      </c>
      <c r="AB97" s="18">
        <f>COUNTIFS(Datasheet!I49:I58,2, Datasheet!P49:P58,2)</f>
        <v>0</v>
      </c>
      <c r="AC97" s="18">
        <f>COUNTIFS(Datasheet!I49:I58,2, Datasheet!P49:P58,3)</f>
        <v>0</v>
      </c>
      <c r="AD97" s="18">
        <f>COUNTIFS(Datasheet!I49:I58,2, Datasheet!P49:P58,4)</f>
        <v>0</v>
      </c>
      <c r="AE97" s="18">
        <f t="shared" si="44"/>
        <v>0</v>
      </c>
      <c r="AG97" s="33" t="s">
        <v>5</v>
      </c>
      <c r="AH97" s="34">
        <v>2.0</v>
      </c>
      <c r="AI97" s="18">
        <f>COUNTIFS(Datasheet!J49:J58,2, Datasheet!Q49:Q58,1)</f>
        <v>0</v>
      </c>
      <c r="AJ97" s="18">
        <f>COUNTIFS(Datasheet!J49:J58,2, Datasheet!Q49:Q58,2)</f>
        <v>0</v>
      </c>
      <c r="AK97" s="18">
        <f>COUNTIFS(Datasheet!J49:J58,2, Datasheet!Q49:Q58,3)</f>
        <v>1</v>
      </c>
      <c r="AL97" s="18">
        <f>COUNTIFS(Datasheet!J49:J58,2, Datasheet!Q49:Q58,4)</f>
        <v>0</v>
      </c>
      <c r="AM97" s="18">
        <f t="shared" si="45"/>
        <v>0.1</v>
      </c>
    </row>
    <row r="98">
      <c r="B98" s="34">
        <v>3.0</v>
      </c>
      <c r="C98" s="18">
        <f>COUNTIFS(Datasheet!F49:F58,3, Datasheet!M49:M58,1)</f>
        <v>0</v>
      </c>
      <c r="D98" s="18">
        <f>COUNTIFS(Datasheet!F49:F58,3, Datasheet!M49:M58,2)</f>
        <v>0</v>
      </c>
      <c r="E98" s="18">
        <f>COUNTIFS(Datasheet!F49:F58,3, Datasheet!M49:M58,3)</f>
        <v>0</v>
      </c>
      <c r="F98" s="18">
        <f>COUNTIFS(Datasheet!F49:F58,3, Datasheet!M49:M58,4)</f>
        <v>1</v>
      </c>
      <c r="G98" s="18">
        <f t="shared" si="41"/>
        <v>0.1</v>
      </c>
      <c r="J98" s="34">
        <v>3.0</v>
      </c>
      <c r="K98" s="18">
        <f>COUNTIFS(Datasheet!G49:G58,3, Datasheet!N49:N58,1)</f>
        <v>0</v>
      </c>
      <c r="L98" s="18">
        <f>COUNTIFS(Datasheet!G49:G58,3, Datasheet!N49:N58,2)</f>
        <v>0</v>
      </c>
      <c r="M98" s="18">
        <f>COUNTIFS(Datasheet!G49:G58,3, Datasheet!N49:N58,3)</f>
        <v>1</v>
      </c>
      <c r="N98" s="18">
        <f>COUNTIFS(Datasheet!G49:G58,3, Datasheet!N49:N58,4)</f>
        <v>3</v>
      </c>
      <c r="O98" s="18">
        <f t="shared" si="42"/>
        <v>0.4</v>
      </c>
      <c r="R98" s="34">
        <v>3.0</v>
      </c>
      <c r="S98" s="18">
        <f>COUNTIFS(Datasheet!H49:H58,3, Datasheet!O49:O58,1)</f>
        <v>0</v>
      </c>
      <c r="T98" s="18">
        <f>COUNTIFS(Datasheet!H49:H58,3, Datasheet!O49:O58,2)</f>
        <v>0</v>
      </c>
      <c r="U98" s="18">
        <f>COUNTIFS(Datasheet!H49:H58,3, Datasheet!O49:O58,3)</f>
        <v>0</v>
      </c>
      <c r="V98" s="18">
        <f>COUNTIFS(Datasheet!H49:H58,3, Datasheet!O49:O58,4)</f>
        <v>2</v>
      </c>
      <c r="W98" s="18">
        <f t="shared" si="43"/>
        <v>0.2</v>
      </c>
      <c r="Z98" s="34">
        <v>3.0</v>
      </c>
      <c r="AA98" s="18">
        <f>COUNTIFS(Datasheet!I49:I58,3, Datasheet!P49:P58,1)</f>
        <v>0</v>
      </c>
      <c r="AB98" s="18">
        <f>COUNTIFS(Datasheet!I49:I58,3, Datasheet!P49:P58,2)</f>
        <v>0</v>
      </c>
      <c r="AC98" s="18">
        <f>COUNTIFS(Datasheet!I49:I58,3, Datasheet!P49:P58,3)</f>
        <v>1</v>
      </c>
      <c r="AD98" s="18">
        <f>COUNTIFS(Datasheet!I49:I58,3, Datasheet!P49:P58,4)</f>
        <v>0</v>
      </c>
      <c r="AE98" s="18">
        <f t="shared" si="44"/>
        <v>0.1</v>
      </c>
      <c r="AH98" s="34">
        <v>3.0</v>
      </c>
      <c r="AI98" s="18">
        <f>COUNTIFS(Datasheet!J49:J58,3, Datasheet!Q49:Q58,1)</f>
        <v>0</v>
      </c>
      <c r="AJ98" s="18">
        <f>COUNTIFS(Datasheet!J49:J58,3, Datasheet!Q49:Q58,2)</f>
        <v>0</v>
      </c>
      <c r="AK98" s="18">
        <f>COUNTIFS(Datasheet!J49:J58,3, Datasheet!Q49:Q58,3)</f>
        <v>1</v>
      </c>
      <c r="AL98" s="18">
        <f>COUNTIFS(Datasheet!J49:J58,3, Datasheet!Q49:Q58,4)</f>
        <v>0</v>
      </c>
      <c r="AM98" s="18">
        <f t="shared" si="45"/>
        <v>0.1</v>
      </c>
    </row>
    <row r="99">
      <c r="B99" s="34">
        <v>4.0</v>
      </c>
      <c r="C99" s="18">
        <f>COUNTIFS(Datasheet!F49:F58,4, Datasheet!M49:M58,1)</f>
        <v>0</v>
      </c>
      <c r="D99" s="18">
        <f>COUNTIFS(Datasheet!F49:F58,4, Datasheet!M49:M58,2)</f>
        <v>0</v>
      </c>
      <c r="E99" s="18">
        <f>COUNTIFS(Datasheet!F49:F58,4, Datasheet!M49:M58,3)</f>
        <v>2</v>
      </c>
      <c r="F99" s="18">
        <f>COUNTIFS(Datasheet!F49:F58,4, Datasheet!M49:M58,4)</f>
        <v>7</v>
      </c>
      <c r="G99" s="18">
        <f t="shared" si="41"/>
        <v>0.9</v>
      </c>
      <c r="J99" s="34">
        <v>4.0</v>
      </c>
      <c r="K99" s="18">
        <f>COUNTIFS(Datasheet!G49:G58,4, Datasheet!N49:N58,1)</f>
        <v>0</v>
      </c>
      <c r="L99" s="18">
        <f>COUNTIFS(Datasheet!G49:G58,4, Datasheet!N49:N58,2)</f>
        <v>0</v>
      </c>
      <c r="M99" s="18">
        <f>COUNTIFS(Datasheet!G49:G58,4, Datasheet!N49:N58,3)</f>
        <v>0</v>
      </c>
      <c r="N99" s="18">
        <f>COUNTIFS(Datasheet!G49:G58,4, Datasheet!N49:N58,4)</f>
        <v>6</v>
      </c>
      <c r="O99" s="18">
        <f t="shared" si="42"/>
        <v>0.6</v>
      </c>
      <c r="R99" s="34">
        <v>4.0</v>
      </c>
      <c r="S99" s="18">
        <f>COUNTIFS(Datasheet!H49:H58,4, Datasheet!O49:O58,1)</f>
        <v>0</v>
      </c>
      <c r="T99" s="18">
        <f>COUNTIFS(Datasheet!H49:H58,4, Datasheet!O49:O58,2)</f>
        <v>0</v>
      </c>
      <c r="U99" s="18">
        <f>COUNTIFS(Datasheet!H49:H58,4, Datasheet!O49:O58,3)</f>
        <v>1</v>
      </c>
      <c r="V99" s="18">
        <f>COUNTIFS(Datasheet!H49:H58,4, Datasheet!O49:O58,4)</f>
        <v>7</v>
      </c>
      <c r="W99" s="18">
        <f t="shared" si="43"/>
        <v>0.8</v>
      </c>
      <c r="Z99" s="34">
        <v>4.0</v>
      </c>
      <c r="AA99" s="18">
        <f>COUNTIFS(Datasheet!I49:I58,4, Datasheet!P49:P58,1)</f>
        <v>0</v>
      </c>
      <c r="AB99" s="18">
        <f>COUNTIFS(Datasheet!I49:I58,4, Datasheet!P49:P58,2)</f>
        <v>0</v>
      </c>
      <c r="AC99" s="18">
        <f>COUNTIFS(Datasheet!I49:I58,4, Datasheet!P49:P58,3)</f>
        <v>6</v>
      </c>
      <c r="AD99" s="18">
        <f>COUNTIFS(Datasheet!I49:I58,4, Datasheet!P49:P58,4)</f>
        <v>3</v>
      </c>
      <c r="AE99" s="18">
        <f t="shared" si="44"/>
        <v>0.9</v>
      </c>
      <c r="AH99" s="34">
        <v>4.0</v>
      </c>
      <c r="AI99" s="18">
        <f>COUNTIFS(Datasheet!J49:J58,4, Datasheet!Q49:Q58,1)</f>
        <v>0</v>
      </c>
      <c r="AJ99" s="18">
        <f>COUNTIFS(Datasheet!J49:J58,4, Datasheet!Q49:Q58,2)</f>
        <v>0</v>
      </c>
      <c r="AK99" s="18">
        <f>COUNTIFS(Datasheet!J49:J58,4, Datasheet!Q49:Q58,3)</f>
        <v>2</v>
      </c>
      <c r="AL99" s="18">
        <f>COUNTIFS(Datasheet!J49:J58,4, Datasheet!Q49:Q58,4)</f>
        <v>6</v>
      </c>
      <c r="AM99" s="18">
        <f t="shared" si="45"/>
        <v>0.8</v>
      </c>
    </row>
    <row r="100">
      <c r="B100" s="16" t="s">
        <v>297</v>
      </c>
      <c r="C100" s="18">
        <f t="shared" ref="C100:F100" si="46">SUM(C96:C99)/10</f>
        <v>0</v>
      </c>
      <c r="D100" s="18">
        <f t="shared" si="46"/>
        <v>0</v>
      </c>
      <c r="E100" s="18">
        <f t="shared" si="46"/>
        <v>0.2</v>
      </c>
      <c r="F100" s="18">
        <f t="shared" si="46"/>
        <v>0.8</v>
      </c>
      <c r="G100" s="18">
        <f>SUM(G96:G99)</f>
        <v>1</v>
      </c>
      <c r="J100" s="16" t="s">
        <v>297</v>
      </c>
      <c r="K100" s="18">
        <f t="shared" ref="K100:N100" si="47">SUM(K96:K99)/10</f>
        <v>0</v>
      </c>
      <c r="L100" s="18">
        <f t="shared" si="47"/>
        <v>0</v>
      </c>
      <c r="M100" s="18">
        <f t="shared" si="47"/>
        <v>0.1</v>
      </c>
      <c r="N100" s="18">
        <f t="shared" si="47"/>
        <v>0.9</v>
      </c>
      <c r="O100" s="18">
        <f>SUM(O96:O99)</f>
        <v>1</v>
      </c>
      <c r="R100" s="16" t="s">
        <v>297</v>
      </c>
      <c r="S100" s="18">
        <f t="shared" ref="S100:V100" si="48">SUM(S96:S99)/10</f>
        <v>0</v>
      </c>
      <c r="T100" s="18">
        <f t="shared" si="48"/>
        <v>0</v>
      </c>
      <c r="U100" s="18">
        <f t="shared" si="48"/>
        <v>0.1</v>
      </c>
      <c r="V100" s="18">
        <f t="shared" si="48"/>
        <v>0.9</v>
      </c>
      <c r="W100" s="18">
        <f>SUM(W96:W99)</f>
        <v>1</v>
      </c>
      <c r="Z100" s="16" t="s">
        <v>297</v>
      </c>
      <c r="AA100" s="18">
        <f t="shared" ref="AA100:AD100" si="49">SUM(AA96:AA99)/10</f>
        <v>0</v>
      </c>
      <c r="AB100" s="18">
        <f t="shared" si="49"/>
        <v>0</v>
      </c>
      <c r="AC100" s="18">
        <f t="shared" si="49"/>
        <v>0.7</v>
      </c>
      <c r="AD100" s="18">
        <f t="shared" si="49"/>
        <v>0.3</v>
      </c>
      <c r="AE100" s="18">
        <f>SUM(AE96:AE99)</f>
        <v>1</v>
      </c>
      <c r="AH100" s="16" t="s">
        <v>297</v>
      </c>
      <c r="AI100" s="18">
        <f t="shared" ref="AI100:AL100" si="50">SUM(AI96:AI99)/10</f>
        <v>0</v>
      </c>
      <c r="AJ100" s="18">
        <f t="shared" si="50"/>
        <v>0</v>
      </c>
      <c r="AK100" s="18">
        <f t="shared" si="50"/>
        <v>0.4</v>
      </c>
      <c r="AL100" s="18">
        <f t="shared" si="50"/>
        <v>0.6</v>
      </c>
      <c r="AM100" s="18">
        <f>SUM(AM96:AM99)</f>
        <v>1</v>
      </c>
    </row>
    <row r="102">
      <c r="A102" s="1" t="s">
        <v>298</v>
      </c>
      <c r="C102" s="15">
        <f>(G96*C100)*10</f>
        <v>0</v>
      </c>
      <c r="D102" s="15">
        <f>(G96*D100)*10</f>
        <v>0</v>
      </c>
      <c r="E102" s="15">
        <f>(G96*E100)*10</f>
        <v>0</v>
      </c>
      <c r="F102" s="15">
        <f>(G96*F100)*10</f>
        <v>0</v>
      </c>
      <c r="I102" s="1" t="s">
        <v>298</v>
      </c>
      <c r="K102" s="15">
        <f>(O96*K100)*10</f>
        <v>0</v>
      </c>
      <c r="L102" s="15">
        <f>(O96*L100)*10</f>
        <v>0</v>
      </c>
      <c r="M102" s="15">
        <f>(O96*M100)*10</f>
        <v>0</v>
      </c>
      <c r="N102" s="15">
        <f>(O96*N100)*10</f>
        <v>0</v>
      </c>
      <c r="Q102" s="1" t="s">
        <v>298</v>
      </c>
      <c r="S102" s="15">
        <f>(W96*S100)*10</f>
        <v>0</v>
      </c>
      <c r="T102" s="15">
        <f>(W96*T100)*10</f>
        <v>0</v>
      </c>
      <c r="U102" s="15">
        <f>(W96*U100)*10</f>
        <v>0</v>
      </c>
      <c r="V102" s="15">
        <f>(W96*V100)*10</f>
        <v>0</v>
      </c>
      <c r="Y102" s="1" t="s">
        <v>298</v>
      </c>
      <c r="AA102" s="15">
        <f>(AE96*AA100)*10</f>
        <v>0</v>
      </c>
      <c r="AB102" s="15">
        <f>(AE96*AB100)*10</f>
        <v>0</v>
      </c>
      <c r="AC102" s="15">
        <f>(AE96*AC100)*10</f>
        <v>0</v>
      </c>
      <c r="AD102" s="15">
        <f>(AE96*AD100)*10</f>
        <v>0</v>
      </c>
      <c r="AG102" s="1" t="s">
        <v>298</v>
      </c>
      <c r="AI102" s="15">
        <f>(AM96*AI100)*10</f>
        <v>0</v>
      </c>
      <c r="AJ102" s="15">
        <f>(AM96*AJ100)*10</f>
        <v>0</v>
      </c>
      <c r="AK102" s="15">
        <f>(AM96*AK100)*10</f>
        <v>0</v>
      </c>
      <c r="AL102" s="15">
        <f>(AM96*AL100)*10</f>
        <v>0</v>
      </c>
    </row>
    <row r="103">
      <c r="C103" s="15">
        <f>(G97*C100)*10</f>
        <v>0</v>
      </c>
      <c r="D103" s="15">
        <f>(G97*D100)*10</f>
        <v>0</v>
      </c>
      <c r="E103" s="15">
        <f>(G97*E100)*10</f>
        <v>0</v>
      </c>
      <c r="F103" s="15">
        <f>(G97*F100)*10</f>
        <v>0</v>
      </c>
      <c r="K103" s="15">
        <f>(O97*K100)*10</f>
        <v>0</v>
      </c>
      <c r="L103" s="15">
        <f>(O97*L100)*10</f>
        <v>0</v>
      </c>
      <c r="M103" s="15">
        <f>(O97*M100)*10</f>
        <v>0</v>
      </c>
      <c r="N103" s="15">
        <f>(O97*N100)*10</f>
        <v>0</v>
      </c>
      <c r="S103" s="15">
        <f>(W97*S100)*10</f>
        <v>0</v>
      </c>
      <c r="T103" s="15">
        <f>(W97*T100)*10</f>
        <v>0</v>
      </c>
      <c r="U103" s="15">
        <f>(W97*U100)*10</f>
        <v>0</v>
      </c>
      <c r="V103" s="15">
        <f>(W97*V100)*10</f>
        <v>0</v>
      </c>
      <c r="AA103" s="15">
        <f>(AE97*AA100)*10</f>
        <v>0</v>
      </c>
      <c r="AB103" s="15">
        <f>(AE97*AB100)*10</f>
        <v>0</v>
      </c>
      <c r="AC103" s="15">
        <f>(AE97*AC100)*10</f>
        <v>0</v>
      </c>
      <c r="AD103" s="15">
        <f>(AE97*AD100)*10</f>
        <v>0</v>
      </c>
      <c r="AI103" s="15">
        <f>(AM97*AI100)*10</f>
        <v>0</v>
      </c>
      <c r="AJ103" s="15">
        <f>(AM97*AJ100)*10</f>
        <v>0</v>
      </c>
      <c r="AK103" s="15">
        <f>(AM97*AK100)*10</f>
        <v>0.4</v>
      </c>
      <c r="AL103" s="15">
        <f>(AM97*AL100)*10</f>
        <v>0.6</v>
      </c>
    </row>
    <row r="104">
      <c r="C104" s="15">
        <f>(G98*C100)*10</f>
        <v>0</v>
      </c>
      <c r="D104" s="15">
        <f>(G98*D100)*10</f>
        <v>0</v>
      </c>
      <c r="E104" s="15">
        <f>(G98*E100)*10</f>
        <v>0.2</v>
      </c>
      <c r="F104" s="15">
        <f>(G98*F100)*10</f>
        <v>0.8</v>
      </c>
      <c r="K104" s="15">
        <f>(O98*K100)*10</f>
        <v>0</v>
      </c>
      <c r="L104" s="15">
        <f>(O98*L100)*10</f>
        <v>0</v>
      </c>
      <c r="M104" s="15">
        <f>(O98*M100)*10</f>
        <v>0.4</v>
      </c>
      <c r="N104" s="15">
        <f>(O98*N100)*10</f>
        <v>3.6</v>
      </c>
      <c r="S104" s="15">
        <f>(W98*S100)*10</f>
        <v>0</v>
      </c>
      <c r="T104" s="15">
        <f>(W98*T100)*10</f>
        <v>0</v>
      </c>
      <c r="U104" s="15">
        <f>(W98*U100)*10</f>
        <v>0.2</v>
      </c>
      <c r="V104" s="15">
        <f>(W98*V100)*10</f>
        <v>1.8</v>
      </c>
      <c r="AA104" s="15">
        <f>(AE98*AA100)*10</f>
        <v>0</v>
      </c>
      <c r="AB104" s="15">
        <f>(AE98*AB100)*10</f>
        <v>0</v>
      </c>
      <c r="AC104" s="15">
        <f>(AE98*AC100)*10</f>
        <v>0.7</v>
      </c>
      <c r="AD104" s="15">
        <f>(AE98*AD100)*10</f>
        <v>0.3</v>
      </c>
      <c r="AI104" s="15">
        <f>(AM98*AI100)*10</f>
        <v>0</v>
      </c>
      <c r="AJ104" s="15">
        <f>(AM98*AJ100)*10</f>
        <v>0</v>
      </c>
      <c r="AK104" s="15">
        <f>(AM98*AK100)*10</f>
        <v>0.4</v>
      </c>
      <c r="AL104" s="15">
        <f>(AM98*AL100)*10</f>
        <v>0.6</v>
      </c>
    </row>
    <row r="105">
      <c r="C105" s="15">
        <f>(G99*C100)*10</f>
        <v>0</v>
      </c>
      <c r="D105" s="15">
        <f>(G99*D100)*10</f>
        <v>0</v>
      </c>
      <c r="E105" s="15">
        <f>(G99*E100)*10</f>
        <v>1.8</v>
      </c>
      <c r="F105" s="15">
        <f>(G99*F100)*10</f>
        <v>7.2</v>
      </c>
      <c r="K105" s="15">
        <f>(O99*K100)*10</f>
        <v>0</v>
      </c>
      <c r="L105" s="15">
        <f>(O99*L100)*10</f>
        <v>0</v>
      </c>
      <c r="M105" s="15">
        <f>(O99*M100)*10</f>
        <v>0.6</v>
      </c>
      <c r="N105" s="15">
        <f>(O99*N100)*10</f>
        <v>5.4</v>
      </c>
      <c r="S105" s="15">
        <f>(W99*S100)*10</f>
        <v>0</v>
      </c>
      <c r="T105" s="15">
        <f>(W99*T100)*10</f>
        <v>0</v>
      </c>
      <c r="U105" s="15">
        <f>(W99*U100)*10</f>
        <v>0.8</v>
      </c>
      <c r="V105" s="15">
        <f>(W99*V100)*10</f>
        <v>7.2</v>
      </c>
      <c r="AA105" s="15">
        <f>(AE99*AA100)*10</f>
        <v>0</v>
      </c>
      <c r="AB105" s="15">
        <f>(AE99*AB100)*10</f>
        <v>0</v>
      </c>
      <c r="AC105" s="15">
        <f>(AE99*AC100)*10</f>
        <v>6.3</v>
      </c>
      <c r="AD105" s="15">
        <f>(AE99*AD100)*10</f>
        <v>2.7</v>
      </c>
      <c r="AI105" s="15">
        <f>(AM99*AI100)*10</f>
        <v>0</v>
      </c>
      <c r="AJ105" s="15">
        <f>(AM99*AJ100)*10</f>
        <v>0</v>
      </c>
      <c r="AK105" s="15">
        <f>(AM99*AK100)*10</f>
        <v>3.2</v>
      </c>
      <c r="AL105" s="15">
        <f>(AM99*AL100)*10</f>
        <v>4.8</v>
      </c>
    </row>
    <row r="107">
      <c r="A107" s="1" t="s">
        <v>299</v>
      </c>
      <c r="C107" s="35">
        <f>((B96-C95)^2)/((4-1)^2)</f>
        <v>0</v>
      </c>
      <c r="D107" s="15">
        <f>((B96-D95)^2)/((4-1)^2)</f>
        <v>0.1111111111</v>
      </c>
      <c r="E107" s="15">
        <f>((B96-E95)^2)/((4-1)^2)</f>
        <v>0.4444444444</v>
      </c>
      <c r="F107" s="18">
        <f>((B96-F95)^2)/((4-1)^2)</f>
        <v>1</v>
      </c>
      <c r="I107" s="1" t="s">
        <v>299</v>
      </c>
      <c r="K107" s="35">
        <f>((J96-K95)^2)/((4-1)^2)</f>
        <v>0</v>
      </c>
      <c r="L107" s="15">
        <f>((J96-L95)^2)/((4-1)^2)</f>
        <v>0.1111111111</v>
      </c>
      <c r="M107" s="15">
        <f>((J96-M95)^2)/((4-1)^2)</f>
        <v>0.4444444444</v>
      </c>
      <c r="N107" s="18">
        <f>((J96-N95)^2)/((4-1)^2)</f>
        <v>1</v>
      </c>
      <c r="Q107" s="1" t="s">
        <v>299</v>
      </c>
      <c r="S107" s="35">
        <f>((R96-S95)^2)/((4-1)^2)</f>
        <v>0</v>
      </c>
      <c r="T107" s="15">
        <f>((R96-T95)^2)/((4-1)^2)</f>
        <v>0.1111111111</v>
      </c>
      <c r="U107" s="15">
        <f>((R96-U95)^2)/((4-1)^2)</f>
        <v>0.4444444444</v>
      </c>
      <c r="V107" s="18">
        <f>((R96-V95)^2)/((4-1)^2)</f>
        <v>1</v>
      </c>
      <c r="Y107" s="1" t="s">
        <v>299</v>
      </c>
      <c r="AA107" s="35">
        <f>((Z96-AA95)^2)/((4-1)^2)</f>
        <v>0</v>
      </c>
      <c r="AB107" s="15">
        <f>((Z96-AB95)^2)/((4-1)^2)</f>
        <v>0.1111111111</v>
      </c>
      <c r="AC107" s="15">
        <f>((Z96-AC95)^2)/((4-1)^2)</f>
        <v>0.4444444444</v>
      </c>
      <c r="AD107" s="18">
        <f>((Z96-AD95)^2)/((4-1)^2)</f>
        <v>1</v>
      </c>
      <c r="AG107" s="1" t="s">
        <v>299</v>
      </c>
      <c r="AI107" s="35">
        <f>((AH96-AI95)^2)/((4-1)^2)</f>
        <v>0</v>
      </c>
      <c r="AJ107" s="15">
        <f>((AH96-AJ95)^2)/((4-1)^2)</f>
        <v>0.1111111111</v>
      </c>
      <c r="AK107" s="15">
        <f>((AH96-AK95)^2)/((4-1)^2)</f>
        <v>0.4444444444</v>
      </c>
      <c r="AL107" s="18">
        <f>((AH96-AL95)^2)/((4-1)^2)</f>
        <v>1</v>
      </c>
    </row>
    <row r="108">
      <c r="C108" s="15">
        <f>((B97-C95)^2)/((4-1)^2)</f>
        <v>0.1111111111</v>
      </c>
      <c r="D108" s="18">
        <f>((B97-D95)^2)/((4-1)^2)</f>
        <v>0</v>
      </c>
      <c r="E108" s="15">
        <f>((B97-E95)^2)/((4-1)^2)</f>
        <v>0.1111111111</v>
      </c>
      <c r="F108" s="15">
        <f>((B97-F95)^2)/((4-1)^2)</f>
        <v>0.4444444444</v>
      </c>
      <c r="K108" s="15">
        <f>((J97-K95)^2)/((4-1)^2)</f>
        <v>0.1111111111</v>
      </c>
      <c r="L108" s="18">
        <f>((J97-L95)^2)/((4-1)^2)</f>
        <v>0</v>
      </c>
      <c r="M108" s="15">
        <f>((J97-M95)^2)/((4-1)^2)</f>
        <v>0.1111111111</v>
      </c>
      <c r="N108" s="15">
        <f>((J97-N95)^2)/((4-1)^2)</f>
        <v>0.4444444444</v>
      </c>
      <c r="S108" s="15">
        <f>((R97-S95)^2)/((4-1)^2)</f>
        <v>0.1111111111</v>
      </c>
      <c r="T108" s="18">
        <f>((R97-T95)^2)/((4-1)^2)</f>
        <v>0</v>
      </c>
      <c r="U108" s="15">
        <f>((R97-U95)^2)/((4-1)^2)</f>
        <v>0.1111111111</v>
      </c>
      <c r="V108" s="15">
        <f>((R97-V95)^2)/((4-1)^2)</f>
        <v>0.4444444444</v>
      </c>
      <c r="AA108" s="15">
        <f>((Z97-AA95)^2)/((4-1)^2)</f>
        <v>0.1111111111</v>
      </c>
      <c r="AB108" s="18">
        <f>((Z97-AB95)^2)/((4-1)^2)</f>
        <v>0</v>
      </c>
      <c r="AC108" s="15">
        <f>((Z97-AC95)^2)/((4-1)^2)</f>
        <v>0.1111111111</v>
      </c>
      <c r="AD108" s="15">
        <f>((Z97-AD95)^2)/((4-1)^2)</f>
        <v>0.4444444444</v>
      </c>
      <c r="AI108" s="15">
        <f>((AH97-AI95)^2)/((4-1)^2)</f>
        <v>0.1111111111</v>
      </c>
      <c r="AJ108" s="18">
        <f>((AH97-AJ95)^2)/((4-1)^2)</f>
        <v>0</v>
      </c>
      <c r="AK108" s="15">
        <f>((AH97-AK95)^2)/((4-1)^2)</f>
        <v>0.1111111111</v>
      </c>
      <c r="AL108" s="15">
        <f>((AH97-AL95)^2)/((4-1)^2)</f>
        <v>0.4444444444</v>
      </c>
    </row>
    <row r="109">
      <c r="C109" s="15">
        <f>((B98-C95)^2)/((4-1)^2)</f>
        <v>0.4444444444</v>
      </c>
      <c r="D109" s="15">
        <f>((B98-D95)^2)/((4-1)^2)</f>
        <v>0.1111111111</v>
      </c>
      <c r="E109" s="18">
        <f>((B98-E95)^2)/((4-1)^2)</f>
        <v>0</v>
      </c>
      <c r="F109" s="15">
        <f>((B98-F95)^2)/((4-1)^2)</f>
        <v>0.1111111111</v>
      </c>
      <c r="K109" s="15">
        <f>((J98-K95)^2)/((4-1)^2)</f>
        <v>0.4444444444</v>
      </c>
      <c r="L109" s="15">
        <f>((J98-L95)^2)/((4-1)^2)</f>
        <v>0.1111111111</v>
      </c>
      <c r="M109" s="18">
        <f>((J98-M95)^2)/((4-1)^2)</f>
        <v>0</v>
      </c>
      <c r="N109" s="15">
        <f>((J98-N95)^2)/((4-1)^2)</f>
        <v>0.1111111111</v>
      </c>
      <c r="S109" s="15">
        <f>((R98-S95)^2)/((4-1)^2)</f>
        <v>0.4444444444</v>
      </c>
      <c r="T109" s="15">
        <f>((R98-T95)^2)/((4-1)^2)</f>
        <v>0.1111111111</v>
      </c>
      <c r="U109" s="18">
        <f>((R98-U95)^2)/((4-1)^2)</f>
        <v>0</v>
      </c>
      <c r="V109" s="15">
        <f>((R98-V95)^2)/((4-1)^2)</f>
        <v>0.1111111111</v>
      </c>
      <c r="AA109" s="15">
        <f>((Z98-AA95)^2)/((4-1)^2)</f>
        <v>0.4444444444</v>
      </c>
      <c r="AB109" s="15">
        <f>((Z98-AB95)^2)/((4-1)^2)</f>
        <v>0.1111111111</v>
      </c>
      <c r="AC109" s="18">
        <f>((Z98-AC95)^2)/((4-1)^2)</f>
        <v>0</v>
      </c>
      <c r="AD109" s="15">
        <f>((Z98-AD95)^2)/((4-1)^2)</f>
        <v>0.1111111111</v>
      </c>
      <c r="AI109" s="15">
        <f>((AH98-AI95)^2)/((4-1)^2)</f>
        <v>0.4444444444</v>
      </c>
      <c r="AJ109" s="15">
        <f>((AH98-AJ95)^2)/((4-1)^2)</f>
        <v>0.1111111111</v>
      </c>
      <c r="AK109" s="18">
        <f>((AH98-AK95)^2)/((4-1)^2)</f>
        <v>0</v>
      </c>
      <c r="AL109" s="15">
        <f>((AH98-AL95)^2)/((4-1)^2)</f>
        <v>0.1111111111</v>
      </c>
    </row>
    <row r="110">
      <c r="C110" s="36">
        <f>((B99-C95)^2)/((4-1)^2)</f>
        <v>1</v>
      </c>
      <c r="D110" s="15">
        <f>((B99-D95)^2)/((4-1)^2)</f>
        <v>0.4444444444</v>
      </c>
      <c r="E110" s="15">
        <f>((B99-E95)^2)/((4-1)^2)</f>
        <v>0.1111111111</v>
      </c>
      <c r="F110" s="18">
        <f>((B99-F95)^2)/((4-1)^2)</f>
        <v>0</v>
      </c>
      <c r="K110" s="36">
        <f>((J99-K95)^2)/((4-1)^2)</f>
        <v>1</v>
      </c>
      <c r="L110" s="15">
        <f>((J99-L95)^2)/((4-1)^2)</f>
        <v>0.4444444444</v>
      </c>
      <c r="M110" s="15">
        <f>((J99-M95)^2)/((4-1)^2)</f>
        <v>0.1111111111</v>
      </c>
      <c r="N110" s="18">
        <f>((J99-N95)^2)/((4-1)^2)</f>
        <v>0</v>
      </c>
      <c r="S110" s="36">
        <f>((R99-S95)^2)/((4-1)^2)</f>
        <v>1</v>
      </c>
      <c r="T110" s="15">
        <f>((R99-T95)^2)/((4-1)^2)</f>
        <v>0.4444444444</v>
      </c>
      <c r="U110" s="15">
        <f>((R99-U95)^2)/((4-1)^2)</f>
        <v>0.1111111111</v>
      </c>
      <c r="V110" s="18">
        <f>((R99-V95)^2)/((4-1)^2)</f>
        <v>0</v>
      </c>
      <c r="AA110" s="36">
        <f>((Z99-AA95)^2)/((4-1)^2)</f>
        <v>1</v>
      </c>
      <c r="AB110" s="15">
        <f>((Z99-AB95)^2)/((4-1)^2)</f>
        <v>0.4444444444</v>
      </c>
      <c r="AC110" s="15">
        <f>((Z99-AC95)^2)/((4-1)^2)</f>
        <v>0.1111111111</v>
      </c>
      <c r="AD110" s="18">
        <f>((Z99-AD95)^2)/((4-1)^2)</f>
        <v>0</v>
      </c>
      <c r="AI110" s="36">
        <f>((AH99-AI95)^2)/((4-1)^2)</f>
        <v>1</v>
      </c>
      <c r="AJ110" s="15">
        <f>((AH99-AJ95)^2)/((4-1)^2)</f>
        <v>0.4444444444</v>
      </c>
      <c r="AK110" s="15">
        <f>((AH99-AK95)^2)/((4-1)^2)</f>
        <v>0.1111111111</v>
      </c>
      <c r="AL110" s="18">
        <f>((AH99-AL95)^2)/((4-1)^2)</f>
        <v>0</v>
      </c>
    </row>
    <row r="112">
      <c r="A112" s="1" t="s">
        <v>300</v>
      </c>
      <c r="B112" s="37">
        <f>1-SUMPRODUCT(C96:F99,C107:F110)/SUMPRODUCT(C102:F105,C107:F110)</f>
        <v>-0.1538461538</v>
      </c>
      <c r="I112" s="1" t="s">
        <v>300</v>
      </c>
      <c r="J112" s="37">
        <f>1-(SUMPRODUCT(K96:N99,K107:N110)/SUMPRODUCT(K102:N105,K107:N110))</f>
        <v>0.2857142857</v>
      </c>
      <c r="Q112" s="1" t="s">
        <v>300</v>
      </c>
      <c r="R112" s="37">
        <f>1-(SUMPRODUCT(S96:V99,S107:V110)/SUMPRODUCT(S102:V105,S107:V110))</f>
        <v>-0.1538461538</v>
      </c>
      <c r="Y112" s="1" t="s">
        <v>300</v>
      </c>
      <c r="Z112" s="37">
        <f>1-(SUMPRODUCT(AA96:AD99,AA107:AD110)/SUMPRODUCT(AA102:AD105,AA107:AD110))</f>
        <v>0.09090909091</v>
      </c>
      <c r="AG112" s="1" t="s">
        <v>300</v>
      </c>
      <c r="AH112" s="37">
        <f>1-(SUMPRODUCT(AI96:AL99,AI107:AL110)/SUMPRODUCT(AI102:AL105,AI107:AL110))</f>
        <v>0.5454545455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c r="B1" s="2" t="s">
        <v>301</v>
      </c>
      <c r="E1" s="16"/>
      <c r="F1" s="16"/>
      <c r="I1" s="18"/>
      <c r="J1" s="2" t="s">
        <v>302</v>
      </c>
      <c r="N1" s="16"/>
    </row>
    <row r="2">
      <c r="A2" s="18"/>
      <c r="B2" s="16"/>
      <c r="C2" s="16"/>
      <c r="D2" s="16"/>
      <c r="E2" s="16"/>
      <c r="F2" s="16"/>
      <c r="I2" s="18"/>
      <c r="J2" s="16"/>
      <c r="K2" s="16"/>
      <c r="L2" s="16"/>
      <c r="M2" s="16"/>
      <c r="N2" s="16"/>
    </row>
    <row r="3">
      <c r="A3" s="39"/>
      <c r="B3" s="40" t="s">
        <v>11</v>
      </c>
      <c r="C3" s="40" t="s">
        <v>12</v>
      </c>
      <c r="D3" s="40" t="s">
        <v>13</v>
      </c>
      <c r="E3" s="40" t="s">
        <v>14</v>
      </c>
      <c r="F3" s="40" t="s">
        <v>15</v>
      </c>
      <c r="I3" s="18"/>
      <c r="J3" s="16" t="s">
        <v>11</v>
      </c>
      <c r="K3" s="16" t="s">
        <v>12</v>
      </c>
      <c r="L3" s="16" t="s">
        <v>13</v>
      </c>
      <c r="M3" s="16" t="s">
        <v>14</v>
      </c>
      <c r="N3" s="16" t="s">
        <v>15</v>
      </c>
    </row>
    <row r="4">
      <c r="A4" s="41" t="s">
        <v>19</v>
      </c>
      <c r="B4" s="18">
        <f>COUNTIF(Datasheet!AA5:AA14,0)/10</f>
        <v>0.2</v>
      </c>
      <c r="C4" s="18">
        <f>COUNTIF(Datasheet!AB5:AB14,0)/10</f>
        <v>0.2</v>
      </c>
      <c r="D4" s="18">
        <f>COUNTIF(Datasheet!AC5:AC14,0)/10</f>
        <v>0.2</v>
      </c>
      <c r="E4" s="18">
        <f>COUNTIF(Datasheet!AD5:AD14,0)/10</f>
        <v>1</v>
      </c>
      <c r="F4" s="18">
        <f>COUNTIF(Datasheet!AE5:AE14,0)/10</f>
        <v>0.4</v>
      </c>
      <c r="I4" s="16" t="s">
        <v>19</v>
      </c>
      <c r="J4" s="18">
        <f>MEDIAN(Datasheet!AA5:AA14)</f>
        <v>1</v>
      </c>
      <c r="K4" s="18">
        <f>MEDIAN(Datasheet!AB5:AB14)</f>
        <v>1</v>
      </c>
      <c r="L4" s="18">
        <f>MEDIAN(Datasheet!AC5:AC14)</f>
        <v>1</v>
      </c>
      <c r="M4" s="18">
        <f>MEDIAN(Datasheet!AD5:AD14)</f>
        <v>0</v>
      </c>
      <c r="N4" s="18">
        <f>MEDIAN(Datasheet!AE5:AE14)</f>
        <v>1</v>
      </c>
    </row>
    <row r="5">
      <c r="A5" s="41" t="s">
        <v>84</v>
      </c>
      <c r="B5" s="18">
        <f>COUNTIF(Datasheet!AA16:AA25,0)/10</f>
        <v>0.5</v>
      </c>
      <c r="C5" s="18">
        <f>COUNTIF(Datasheet!AB16:AB25,0)/10</f>
        <v>0.1</v>
      </c>
      <c r="D5" s="18">
        <f>COUNTIF(Datasheet!AC16:AC25,0)/10</f>
        <v>0.5</v>
      </c>
      <c r="E5" s="18">
        <f>COUNTIF(Datasheet!AD16:AD25,0)/10</f>
        <v>0.8</v>
      </c>
      <c r="F5" s="18">
        <f>COUNTIF(Datasheet!AE16:AE25,0)/10</f>
        <v>0.5</v>
      </c>
      <c r="I5" s="16" t="s">
        <v>84</v>
      </c>
      <c r="J5" s="18">
        <f>MEDIAN(Datasheet!AA16:AA25)</f>
        <v>0.5</v>
      </c>
      <c r="K5" s="18">
        <f>MEDIAN(Datasheet!AB16:AB25)</f>
        <v>1</v>
      </c>
      <c r="L5" s="18">
        <f>MEDIAN(Datasheet!AC16:AC25)</f>
        <v>0.5</v>
      </c>
      <c r="M5" s="18">
        <f>MEDIAN(Datasheet!AD16:AD25)</f>
        <v>0</v>
      </c>
      <c r="N5" s="18">
        <f>MEDIAN(Datasheet!AE16:AE25)</f>
        <v>0.5</v>
      </c>
    </row>
    <row r="6">
      <c r="A6" s="41" t="s">
        <v>138</v>
      </c>
      <c r="B6" s="18">
        <f>COUNTIF(Datasheet!AA27:AA36,0)/10</f>
        <v>0.8</v>
      </c>
      <c r="C6" s="18">
        <f>COUNTIF(Datasheet!AB27:AB36,0)/10</f>
        <v>0.4</v>
      </c>
      <c r="D6" s="18">
        <f>COUNTIF(Datasheet!AC27:AC36,0)/10</f>
        <v>0.2</v>
      </c>
      <c r="E6" s="18">
        <f>COUNTIF(Datasheet!AD27:AD36,0)/10</f>
        <v>0.7</v>
      </c>
      <c r="F6" s="18">
        <f>COUNTIF(Datasheet!AE27:AE36,0)/10</f>
        <v>0.7</v>
      </c>
      <c r="I6" s="16" t="s">
        <v>138</v>
      </c>
      <c r="J6" s="18">
        <f>MEDIAN(Datasheet!AA27:AA36)</f>
        <v>0</v>
      </c>
      <c r="K6" s="18">
        <f>MEDIAN(Datasheet!AB27:AB36)</f>
        <v>1</v>
      </c>
      <c r="L6" s="18">
        <f>MEDIAN(Datasheet!AC27:AC36)</f>
        <v>1</v>
      </c>
      <c r="M6" s="18">
        <f>MEDIAN(Datasheet!AD27:AD36)</f>
        <v>0</v>
      </c>
      <c r="N6" s="18">
        <f>MEDIAN(Datasheet!AE27:AE36)</f>
        <v>0</v>
      </c>
    </row>
    <row r="7">
      <c r="A7" s="41" t="s">
        <v>193</v>
      </c>
      <c r="B7" s="18">
        <f>COUNTIF(Datasheet!AA38:AA47,0)/10</f>
        <v>0.8</v>
      </c>
      <c r="C7" s="18">
        <f>COUNTIF(Datasheet!AB38:AB47,0)/10</f>
        <v>0.6</v>
      </c>
      <c r="D7" s="18">
        <f>COUNTIF(Datasheet!AC38:AC47,0)/10</f>
        <v>0.8</v>
      </c>
      <c r="E7" s="18">
        <f>COUNTIF(Datasheet!AD38:AD47,0)/10</f>
        <v>0.5</v>
      </c>
      <c r="F7" s="18">
        <f>COUNTIF(Datasheet!AE38:AE47,0)/10</f>
        <v>1</v>
      </c>
      <c r="I7" s="16" t="s">
        <v>193</v>
      </c>
      <c r="J7" s="18">
        <f>MEDIAN(Datasheet!AA38:AA47)</f>
        <v>0</v>
      </c>
      <c r="K7" s="18">
        <f>MEDIAN(Datasheet!AB38:AB47)</f>
        <v>0</v>
      </c>
      <c r="L7" s="18">
        <f>MEDIAN(Datasheet!AC38:AC47)</f>
        <v>0</v>
      </c>
      <c r="M7" s="18">
        <f>MEDIAN(Datasheet!AD38:AD47)</f>
        <v>0.5</v>
      </c>
      <c r="N7" s="18">
        <f>MEDIAN(Datasheet!AE38:AE47)</f>
        <v>0</v>
      </c>
    </row>
    <row r="8">
      <c r="A8" s="41" t="s">
        <v>247</v>
      </c>
      <c r="B8" s="18">
        <f>COUNTIF(Datasheet!AA49:AA58,0)/10</f>
        <v>0.7</v>
      </c>
      <c r="C8" s="18">
        <f>COUNTIF(Datasheet!AB49:AB58,0)/10</f>
        <v>0.7</v>
      </c>
      <c r="D8" s="18">
        <f>COUNTIF(Datasheet!AC49:AC58,0)/10</f>
        <v>0.7</v>
      </c>
      <c r="E8" s="18">
        <f>COUNTIF(Datasheet!AD49:AD58,0)/10</f>
        <v>0.4</v>
      </c>
      <c r="F8" s="18">
        <f>COUNTIF(Datasheet!AE49:AE58,0)/10</f>
        <v>0.7</v>
      </c>
      <c r="I8" s="16" t="s">
        <v>247</v>
      </c>
      <c r="J8" s="18">
        <f>MEDIAN(Datasheet!AA49:AA58)</f>
        <v>0</v>
      </c>
      <c r="K8" s="18">
        <f>MEDIAN(Datasheet!AB49:AB58)</f>
        <v>0</v>
      </c>
      <c r="L8" s="18">
        <f>MEDIAN(Datasheet!AC49:AC58)</f>
        <v>0</v>
      </c>
      <c r="M8" s="18">
        <f>MEDIAN(Datasheet!AD49:AD58)</f>
        <v>1</v>
      </c>
      <c r="N8" s="18">
        <f>MEDIAN(Datasheet!AE49:AE58)</f>
        <v>0</v>
      </c>
    </row>
    <row r="9">
      <c r="A9" s="42" t="s">
        <v>303</v>
      </c>
      <c r="B9" s="43">
        <f t="shared" ref="B9:F9" si="1">MEDIAN(B4:B8)</f>
        <v>0.7</v>
      </c>
      <c r="C9" s="43">
        <f t="shared" si="1"/>
        <v>0.4</v>
      </c>
      <c r="D9" s="43">
        <f t="shared" si="1"/>
        <v>0.5</v>
      </c>
      <c r="E9" s="43">
        <f t="shared" si="1"/>
        <v>0.7</v>
      </c>
      <c r="F9" s="43">
        <f t="shared" si="1"/>
        <v>0.7</v>
      </c>
    </row>
  </sheetData>
  <mergeCells count="2">
    <mergeCell ref="B1:D1"/>
    <mergeCell ref="J1:M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3.5"/>
    <col customWidth="1" min="5" max="5" width="14.25"/>
    <col customWidth="1" min="6" max="6" width="13.38"/>
    <col customWidth="1" min="7" max="7" width="13.5"/>
  </cols>
  <sheetData>
    <row r="1">
      <c r="A1" s="2"/>
      <c r="B1" s="44"/>
      <c r="C1" s="44" t="s">
        <v>304</v>
      </c>
    </row>
    <row r="2">
      <c r="A2" s="2" t="s">
        <v>305</v>
      </c>
      <c r="B2" s="44" t="s">
        <v>306</v>
      </c>
      <c r="C2" s="44" t="s">
        <v>19</v>
      </c>
      <c r="D2" s="44" t="s">
        <v>84</v>
      </c>
      <c r="E2" s="44" t="s">
        <v>138</v>
      </c>
      <c r="F2" s="44" t="s">
        <v>193</v>
      </c>
      <c r="G2" s="44" t="s">
        <v>247</v>
      </c>
    </row>
    <row r="3">
      <c r="A3" s="16">
        <v>6.0</v>
      </c>
      <c r="B3" s="15">
        <f>Datasheet!D5
</f>
        <v>2.4</v>
      </c>
      <c r="C3" s="15">
        <f>Datasheet!S5
</f>
        <v>3.5</v>
      </c>
      <c r="D3" s="18"/>
      <c r="E3" s="18"/>
    </row>
    <row r="4">
      <c r="A4" s="16">
        <v>64.0</v>
      </c>
      <c r="B4" s="15">
        <f>Datasheet!D6
</f>
        <v>2.7</v>
      </c>
      <c r="C4" s="15">
        <f>Datasheet!S6
</f>
        <v>2.5</v>
      </c>
      <c r="D4" s="18"/>
      <c r="E4" s="18"/>
    </row>
    <row r="5">
      <c r="A5" s="16">
        <v>73.0</v>
      </c>
      <c r="B5" s="15">
        <f>Datasheet!D7
</f>
        <v>2.7</v>
      </c>
      <c r="C5" s="15">
        <f>Datasheet!S7
</f>
        <v>2</v>
      </c>
      <c r="D5" s="18"/>
      <c r="E5" s="18"/>
    </row>
    <row r="6">
      <c r="A6" s="16">
        <v>266.0</v>
      </c>
      <c r="B6" s="15">
        <f>Datasheet!D8
</f>
        <v>2.6</v>
      </c>
      <c r="C6" s="15">
        <f>Datasheet!S8
</f>
        <v>3.5</v>
      </c>
      <c r="D6" s="18"/>
      <c r="E6" s="18"/>
    </row>
    <row r="7">
      <c r="A7" s="16">
        <v>317.0</v>
      </c>
      <c r="B7" s="15">
        <f>Datasheet!D9
</f>
        <v>2.3</v>
      </c>
      <c r="C7" s="15">
        <f>Datasheet!S9
</f>
        <v>2.5</v>
      </c>
      <c r="D7" s="18"/>
      <c r="E7" s="18"/>
    </row>
    <row r="8">
      <c r="A8" s="16">
        <v>375.0</v>
      </c>
      <c r="B8" s="15">
        <f>Datasheet!D10
</f>
        <v>2.5</v>
      </c>
      <c r="C8" s="15">
        <f>Datasheet!S10
</f>
        <v>2.5</v>
      </c>
      <c r="D8" s="18"/>
      <c r="E8" s="18"/>
    </row>
    <row r="9">
      <c r="A9" s="16">
        <v>411.0</v>
      </c>
      <c r="B9" s="15">
        <f>Datasheet!D11
</f>
        <v>2.4</v>
      </c>
      <c r="C9" s="15">
        <f>Datasheet!S11
</f>
        <v>3</v>
      </c>
      <c r="D9" s="18"/>
      <c r="E9" s="18"/>
    </row>
    <row r="10">
      <c r="A10" s="16">
        <v>457.0</v>
      </c>
      <c r="B10" s="15">
        <f>Datasheet!D12
</f>
        <v>2.2</v>
      </c>
      <c r="C10" s="15">
        <f>Datasheet!S12
</f>
        <v>3</v>
      </c>
      <c r="D10" s="18"/>
      <c r="E10" s="18"/>
    </row>
    <row r="11">
      <c r="A11" s="16">
        <v>467.0</v>
      </c>
      <c r="B11" s="15">
        <f>Datasheet!D13
</f>
        <v>2.8</v>
      </c>
      <c r="C11" s="15">
        <f>Datasheet!S13
</f>
        <v>3</v>
      </c>
      <c r="D11" s="18"/>
      <c r="E11" s="18"/>
    </row>
    <row r="12">
      <c r="A12" s="16">
        <v>540.0</v>
      </c>
      <c r="B12" s="15">
        <f>Datasheet!D14
</f>
        <v>2.8</v>
      </c>
      <c r="C12" s="15">
        <f>Datasheet!S14
</f>
        <v>3</v>
      </c>
      <c r="D12" s="18"/>
      <c r="E12" s="18"/>
    </row>
    <row r="13">
      <c r="A13" s="18"/>
      <c r="B13" s="18"/>
      <c r="C13" s="18"/>
      <c r="D13" s="18"/>
      <c r="E13" s="18"/>
    </row>
    <row r="14">
      <c r="A14" s="18"/>
      <c r="B14" s="18"/>
      <c r="C14" s="18"/>
      <c r="D14" s="18"/>
      <c r="E14" s="18"/>
    </row>
    <row r="15">
      <c r="A15" s="16">
        <v>150.0</v>
      </c>
      <c r="B15" s="15">
        <f>Datasheet!D16
</f>
        <v>3.1</v>
      </c>
      <c r="C15" s="18"/>
      <c r="D15" s="15">
        <f>Datasheet!S16
</f>
        <v>4</v>
      </c>
      <c r="E15" s="18"/>
    </row>
    <row r="16">
      <c r="A16" s="16">
        <v>220.0</v>
      </c>
      <c r="B16" s="15">
        <f>Datasheet!D17
</f>
        <v>2.8</v>
      </c>
      <c r="C16" s="18"/>
      <c r="D16" s="15">
        <f>Datasheet!S17
</f>
        <v>3</v>
      </c>
      <c r="E16" s="18"/>
    </row>
    <row r="17">
      <c r="A17" s="16">
        <v>272.0</v>
      </c>
      <c r="B17" s="15">
        <f>Datasheet!D18
</f>
        <v>3.1</v>
      </c>
      <c r="C17" s="18"/>
      <c r="D17" s="15">
        <f>Datasheet!S18
</f>
        <v>4</v>
      </c>
      <c r="E17" s="18"/>
    </row>
    <row r="18">
      <c r="A18" s="16">
        <v>418.0</v>
      </c>
      <c r="B18" s="15">
        <f>Datasheet!D19
</f>
        <v>3.1</v>
      </c>
      <c r="C18" s="18"/>
      <c r="D18" s="15">
        <f>Datasheet!S19
</f>
        <v>4</v>
      </c>
      <c r="E18" s="18"/>
    </row>
    <row r="19">
      <c r="A19" s="16">
        <v>451.0</v>
      </c>
      <c r="B19" s="15">
        <f>Datasheet!D20
</f>
        <v>2.8</v>
      </c>
      <c r="C19" s="18"/>
      <c r="D19" s="15">
        <f>Datasheet!S20
</f>
        <v>4</v>
      </c>
      <c r="E19" s="18"/>
    </row>
    <row r="20">
      <c r="A20" s="16">
        <v>475.0</v>
      </c>
      <c r="B20" s="15">
        <f>Datasheet!D21
</f>
        <v>2.9</v>
      </c>
      <c r="C20" s="18"/>
      <c r="D20" s="15">
        <f>Datasheet!S21
</f>
        <v>4</v>
      </c>
      <c r="E20" s="18"/>
    </row>
    <row r="21">
      <c r="A21" s="16">
        <v>50.0</v>
      </c>
      <c r="B21" s="15">
        <f>Datasheet!D22
</f>
        <v>3.2</v>
      </c>
      <c r="C21" s="18"/>
      <c r="D21" s="15">
        <f>Datasheet!S22
</f>
        <v>4</v>
      </c>
      <c r="E21" s="18"/>
    </row>
    <row r="22">
      <c r="A22" s="16">
        <v>511.0</v>
      </c>
      <c r="B22" s="15">
        <f>Datasheet!D23
</f>
        <v>2.8</v>
      </c>
      <c r="C22" s="18"/>
      <c r="D22" s="15">
        <f>Datasheet!S23
</f>
        <v>3.5</v>
      </c>
      <c r="E22" s="18"/>
    </row>
    <row r="23">
      <c r="A23" s="16">
        <v>529.0</v>
      </c>
      <c r="B23" s="15">
        <f>Datasheet!D24
</f>
        <v>3</v>
      </c>
      <c r="C23" s="18"/>
      <c r="D23" s="15">
        <f>Datasheet!S24
</f>
        <v>3.5</v>
      </c>
      <c r="E23" s="18"/>
    </row>
    <row r="24">
      <c r="A24" s="16">
        <v>531.0</v>
      </c>
      <c r="B24" s="15">
        <f>Datasheet!D25
</f>
        <v>2.8</v>
      </c>
      <c r="C24" s="18"/>
      <c r="D24" s="15">
        <f>Datasheet!S25
</f>
        <v>3.5</v>
      </c>
      <c r="E24" s="18"/>
    </row>
    <row r="25">
      <c r="A25" s="18"/>
      <c r="B25" s="18"/>
      <c r="C25" s="18"/>
      <c r="D25" s="18"/>
      <c r="E25" s="18"/>
    </row>
    <row r="26">
      <c r="A26" s="18"/>
      <c r="B26" s="18"/>
      <c r="C26" s="18"/>
      <c r="D26" s="18"/>
      <c r="E26" s="18"/>
    </row>
    <row r="27">
      <c r="A27" s="16">
        <v>58.0</v>
      </c>
      <c r="B27" s="15">
        <f>Datasheet!D27
</f>
        <v>3.2</v>
      </c>
      <c r="C27" s="18"/>
      <c r="D27" s="18"/>
      <c r="E27" s="15">
        <f>Datasheet!S27
</f>
        <v>4</v>
      </c>
    </row>
    <row r="28">
      <c r="A28" s="16">
        <v>77.0</v>
      </c>
      <c r="B28" s="15">
        <f>Datasheet!D28
</f>
        <v>2.8</v>
      </c>
      <c r="C28" s="18"/>
      <c r="D28" s="18"/>
      <c r="E28" s="15">
        <f>Datasheet!S28
</f>
        <v>3.5</v>
      </c>
    </row>
    <row r="29">
      <c r="A29" s="16">
        <v>92.0</v>
      </c>
      <c r="B29" s="15">
        <f>Datasheet!D29
</f>
        <v>3</v>
      </c>
      <c r="C29" s="18"/>
      <c r="D29" s="18"/>
      <c r="E29" s="15">
        <f>Datasheet!S29
</f>
        <v>4</v>
      </c>
    </row>
    <row r="30">
      <c r="A30" s="16">
        <v>124.0</v>
      </c>
      <c r="B30" s="15">
        <f>Datasheet!D30
</f>
        <v>2.9</v>
      </c>
      <c r="C30" s="18"/>
      <c r="D30" s="18"/>
      <c r="E30" s="15">
        <f>Datasheet!S30
</f>
        <v>3.5</v>
      </c>
    </row>
    <row r="31">
      <c r="A31" s="16">
        <v>155.0</v>
      </c>
      <c r="B31" s="15">
        <f>Datasheet!D31
</f>
        <v>3.4</v>
      </c>
      <c r="C31" s="18"/>
      <c r="D31" s="18"/>
      <c r="E31" s="15">
        <f>Datasheet!S31
</f>
        <v>4</v>
      </c>
    </row>
    <row r="32">
      <c r="A32" s="16">
        <v>248.0</v>
      </c>
      <c r="B32" s="15">
        <f>Datasheet!D32
</f>
        <v>2.6</v>
      </c>
      <c r="C32" s="18"/>
      <c r="D32" s="18"/>
      <c r="E32" s="15">
        <f>Datasheet!S32
</f>
        <v>4</v>
      </c>
    </row>
    <row r="33">
      <c r="A33" s="16">
        <v>256.0</v>
      </c>
      <c r="B33" s="15">
        <f>Datasheet!D33
</f>
        <v>3.1</v>
      </c>
      <c r="C33" s="18"/>
      <c r="D33" s="18"/>
      <c r="E33" s="15">
        <f>Datasheet!S33
</f>
        <v>4</v>
      </c>
    </row>
    <row r="34">
      <c r="A34" s="16">
        <v>345.0</v>
      </c>
      <c r="B34" s="15">
        <f>Datasheet!D34
</f>
        <v>3.2</v>
      </c>
      <c r="C34" s="18"/>
      <c r="D34" s="18"/>
      <c r="E34" s="15">
        <f>Datasheet!S34
</f>
        <v>4</v>
      </c>
    </row>
    <row r="35">
      <c r="A35" s="16">
        <v>380.0</v>
      </c>
      <c r="B35" s="15">
        <f>Datasheet!D35
</f>
        <v>3.2</v>
      </c>
      <c r="C35" s="18"/>
      <c r="D35" s="18"/>
      <c r="E35" s="15">
        <f>Datasheet!S35
</f>
        <v>3</v>
      </c>
    </row>
    <row r="36">
      <c r="A36" s="16">
        <v>552.0</v>
      </c>
      <c r="B36" s="15">
        <f>Datasheet!D36
</f>
        <v>3.2</v>
      </c>
      <c r="C36" s="18"/>
      <c r="D36" s="18"/>
      <c r="E36" s="15">
        <f>Datasheet!S36
</f>
        <v>4</v>
      </c>
    </row>
    <row r="39">
      <c r="A39" s="16">
        <v>32.0</v>
      </c>
      <c r="B39" s="15">
        <f>Datasheet!D38
</f>
        <v>3.4</v>
      </c>
      <c r="F39" s="18">
        <f>Datasheet!S38
</f>
        <v>4</v>
      </c>
    </row>
    <row r="40">
      <c r="A40" s="16">
        <v>41.0</v>
      </c>
      <c r="B40" s="15">
        <f>Datasheet!D39
</f>
        <v>3.5</v>
      </c>
      <c r="F40" s="18">
        <f>Datasheet!S39
</f>
        <v>4</v>
      </c>
    </row>
    <row r="41">
      <c r="A41" s="16">
        <v>194.0</v>
      </c>
      <c r="B41" s="15">
        <f>Datasheet!D40
</f>
        <v>4</v>
      </c>
      <c r="F41" s="18">
        <f>Datasheet!S40
</f>
        <v>4</v>
      </c>
    </row>
    <row r="42">
      <c r="A42" s="16">
        <v>321.0</v>
      </c>
      <c r="B42" s="15">
        <f>Datasheet!D41
</f>
        <v>2.9</v>
      </c>
      <c r="F42" s="18">
        <f>Datasheet!S41
</f>
        <v>3.5</v>
      </c>
    </row>
    <row r="43">
      <c r="A43" s="16">
        <v>376.0</v>
      </c>
      <c r="B43" s="15">
        <f>Datasheet!D42
</f>
        <v>3.1</v>
      </c>
      <c r="F43" s="18">
        <f>Datasheet!S42
</f>
        <v>4</v>
      </c>
    </row>
    <row r="44">
      <c r="A44" s="16">
        <v>402.0</v>
      </c>
      <c r="B44" s="15">
        <f>Datasheet!D43
</f>
        <v>3.3</v>
      </c>
      <c r="F44" s="18">
        <f>Datasheet!S43
</f>
        <v>4</v>
      </c>
    </row>
    <row r="45">
      <c r="A45" s="16">
        <v>435.0</v>
      </c>
      <c r="B45" s="15">
        <f>Datasheet!D44
</f>
        <v>3.1</v>
      </c>
      <c r="F45" s="18">
        <f>Datasheet!S44
</f>
        <v>3</v>
      </c>
    </row>
    <row r="46">
      <c r="A46" s="16">
        <v>440.0</v>
      </c>
      <c r="B46" s="15">
        <f>Datasheet!D45
</f>
        <v>2.9</v>
      </c>
      <c r="F46" s="18">
        <f>Datasheet!S45
</f>
        <v>3.5</v>
      </c>
    </row>
    <row r="47">
      <c r="A47" s="16">
        <v>485.0</v>
      </c>
      <c r="B47" s="15">
        <f>Datasheet!D46
</f>
        <v>3.7</v>
      </c>
      <c r="F47" s="18">
        <f>Datasheet!S46
</f>
        <v>3</v>
      </c>
    </row>
    <row r="48">
      <c r="A48" s="16">
        <v>566.0</v>
      </c>
      <c r="B48" s="15">
        <f>Datasheet!D47
</f>
        <v>3.4</v>
      </c>
      <c r="F48" s="18">
        <f>Datasheet!S47
</f>
        <v>4</v>
      </c>
    </row>
    <row r="51">
      <c r="A51" s="16">
        <v>89.0</v>
      </c>
      <c r="B51" s="37">
        <f>Datasheet!D49
</f>
        <v>3.9</v>
      </c>
      <c r="G51" s="18">
        <f>Datasheet!S49
</f>
        <v>4</v>
      </c>
    </row>
    <row r="52">
      <c r="A52" s="16">
        <v>108.0</v>
      </c>
      <c r="B52" s="37">
        <f>Datasheet!D50
</f>
        <v>3.8</v>
      </c>
      <c r="G52" s="18">
        <f>Datasheet!S50
</f>
        <v>4</v>
      </c>
    </row>
    <row r="53">
      <c r="A53" s="16">
        <v>109.0</v>
      </c>
      <c r="B53" s="37">
        <f>Datasheet!D51
</f>
        <v>3.6</v>
      </c>
      <c r="G53" s="18">
        <f>Datasheet!S51
</f>
        <v>4</v>
      </c>
    </row>
    <row r="54">
      <c r="A54" s="16">
        <v>325.0</v>
      </c>
      <c r="B54" s="37">
        <f>Datasheet!D52
</f>
        <v>3.6</v>
      </c>
      <c r="G54" s="18">
        <f>Datasheet!S52
</f>
        <v>4</v>
      </c>
    </row>
    <row r="55">
      <c r="A55" s="16">
        <v>371.0</v>
      </c>
      <c r="B55" s="37">
        <f>Datasheet!D53
</f>
        <v>3.4</v>
      </c>
      <c r="G55" s="18">
        <f>Datasheet!S53
</f>
        <v>4</v>
      </c>
    </row>
    <row r="56">
      <c r="A56" s="16">
        <v>432.0</v>
      </c>
      <c r="B56" s="37">
        <f>Datasheet!D54
</f>
        <v>3.9</v>
      </c>
      <c r="G56" s="18">
        <f>Datasheet!S54
</f>
        <v>4</v>
      </c>
    </row>
    <row r="57">
      <c r="A57" s="16">
        <v>493.0</v>
      </c>
      <c r="B57" s="37">
        <f>Datasheet!D55
</f>
        <v>3.8</v>
      </c>
      <c r="G57" s="18">
        <f>Datasheet!S55
</f>
        <v>4</v>
      </c>
    </row>
    <row r="58">
      <c r="A58" s="16">
        <v>515.0</v>
      </c>
      <c r="B58" s="37">
        <f>Datasheet!D56
</f>
        <v>3.6</v>
      </c>
      <c r="G58" s="18">
        <f>Datasheet!S56
</f>
        <v>4</v>
      </c>
    </row>
    <row r="59">
      <c r="A59" s="16">
        <v>549.0</v>
      </c>
      <c r="B59" s="37">
        <f>Datasheet!D57
</f>
        <v>4</v>
      </c>
      <c r="G59" s="18">
        <f>Datasheet!S57
</f>
        <v>3.5</v>
      </c>
    </row>
    <row r="60">
      <c r="A60" s="16">
        <v>584.0</v>
      </c>
      <c r="B60" s="37">
        <f>Datasheet!D58
</f>
        <v>3.8</v>
      </c>
      <c r="G60" s="18">
        <f>Datasheet!S58
</f>
        <v>4</v>
      </c>
    </row>
  </sheetData>
  <mergeCells count="1">
    <mergeCell ref="C1:G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s>
  <sheetData>
    <row r="1">
      <c r="A1" s="2" t="s">
        <v>307</v>
      </c>
      <c r="B1" s="44" t="s">
        <v>308</v>
      </c>
      <c r="C1" s="44" t="s">
        <v>309</v>
      </c>
    </row>
    <row r="2">
      <c r="A2" s="16">
        <v>1.0</v>
      </c>
      <c r="B2" s="15">
        <f>Datasheet!D5
</f>
        <v>2.4</v>
      </c>
      <c r="C2" s="15">
        <f>Datasheet!S5
</f>
        <v>3.5</v>
      </c>
    </row>
    <row r="3">
      <c r="A3" s="16">
        <v>1.0</v>
      </c>
      <c r="B3" s="15">
        <f>Datasheet!D6
</f>
        <v>2.7</v>
      </c>
      <c r="C3" s="15">
        <f>Datasheet!S6
</f>
        <v>2.5</v>
      </c>
    </row>
    <row r="4">
      <c r="A4" s="16">
        <v>1.0</v>
      </c>
      <c r="B4" s="15">
        <f>Datasheet!D7
</f>
        <v>2.7</v>
      </c>
      <c r="C4" s="15">
        <f>Datasheet!S7
</f>
        <v>2</v>
      </c>
    </row>
    <row r="5">
      <c r="A5" s="16">
        <v>1.0</v>
      </c>
      <c r="B5" s="15">
        <f>Datasheet!D8
</f>
        <v>2.6</v>
      </c>
      <c r="C5" s="15">
        <f>Datasheet!S8
</f>
        <v>3.5</v>
      </c>
    </row>
    <row r="6">
      <c r="A6" s="16">
        <v>1.0</v>
      </c>
      <c r="B6" s="15">
        <f>Datasheet!D9
</f>
        <v>2.3</v>
      </c>
      <c r="C6" s="15">
        <f>Datasheet!S9
</f>
        <v>2.5</v>
      </c>
    </row>
    <row r="7">
      <c r="A7" s="16">
        <v>1.0</v>
      </c>
      <c r="B7" s="15">
        <f>Datasheet!D10
</f>
        <v>2.5</v>
      </c>
      <c r="C7" s="15">
        <f>Datasheet!S10
</f>
        <v>2.5</v>
      </c>
    </row>
    <row r="8">
      <c r="A8" s="16">
        <v>1.0</v>
      </c>
      <c r="B8" s="15">
        <f>Datasheet!D11
</f>
        <v>2.4</v>
      </c>
      <c r="C8" s="15">
        <f>Datasheet!S11
</f>
        <v>3</v>
      </c>
    </row>
    <row r="9">
      <c r="A9" s="16">
        <v>1.0</v>
      </c>
      <c r="B9" s="15">
        <f>Datasheet!D12
</f>
        <v>2.2</v>
      </c>
      <c r="C9" s="15">
        <f>Datasheet!S12
</f>
        <v>3</v>
      </c>
    </row>
    <row r="10">
      <c r="A10" s="16">
        <v>1.0</v>
      </c>
      <c r="B10" s="15">
        <f>Datasheet!D13
</f>
        <v>2.8</v>
      </c>
      <c r="C10" s="15">
        <f>Datasheet!S13
</f>
        <v>3</v>
      </c>
    </row>
    <row r="11">
      <c r="A11" s="16">
        <v>1.0</v>
      </c>
      <c r="B11" s="15">
        <f>Datasheet!D14
</f>
        <v>2.8</v>
      </c>
      <c r="C11" s="15">
        <f>Datasheet!S14
</f>
        <v>3</v>
      </c>
    </row>
    <row r="12">
      <c r="A12" s="16">
        <v>2.0</v>
      </c>
      <c r="B12" s="15">
        <f>Datasheet!D16
</f>
        <v>3.1</v>
      </c>
      <c r="C12" s="15">
        <f>Datasheet!S16
</f>
        <v>4</v>
      </c>
    </row>
    <row r="13">
      <c r="A13" s="16">
        <v>2.0</v>
      </c>
      <c r="B13" s="15">
        <f>Datasheet!D17
</f>
        <v>2.8</v>
      </c>
      <c r="C13" s="15">
        <f>Datasheet!S17
</f>
        <v>3</v>
      </c>
    </row>
    <row r="14">
      <c r="A14" s="16">
        <v>2.0</v>
      </c>
      <c r="B14" s="15">
        <f>Datasheet!D18
</f>
        <v>3.1</v>
      </c>
      <c r="C14" s="15">
        <f>Datasheet!S18
</f>
        <v>4</v>
      </c>
    </row>
    <row r="15">
      <c r="A15" s="16">
        <v>2.0</v>
      </c>
      <c r="B15" s="15">
        <f>Datasheet!D19
</f>
        <v>3.1</v>
      </c>
      <c r="C15" s="15">
        <f>Datasheet!S19
</f>
        <v>4</v>
      </c>
    </row>
    <row r="16">
      <c r="A16" s="16">
        <v>2.0</v>
      </c>
      <c r="B16" s="15">
        <f>Datasheet!D20
</f>
        <v>2.8</v>
      </c>
      <c r="C16" s="15">
        <f>Datasheet!S20
</f>
        <v>4</v>
      </c>
    </row>
    <row r="17">
      <c r="A17" s="16">
        <v>2.0</v>
      </c>
      <c r="B17" s="15">
        <f>Datasheet!D21
</f>
        <v>2.9</v>
      </c>
      <c r="C17" s="15">
        <f>Datasheet!S21
</f>
        <v>4</v>
      </c>
    </row>
    <row r="18">
      <c r="A18" s="16">
        <v>2.0</v>
      </c>
      <c r="B18" s="15">
        <f>Datasheet!D22
</f>
        <v>3.2</v>
      </c>
      <c r="C18" s="15">
        <f>Datasheet!S22
</f>
        <v>4</v>
      </c>
    </row>
    <row r="19">
      <c r="A19" s="16">
        <v>2.0</v>
      </c>
      <c r="B19" s="15">
        <f>Datasheet!D23
</f>
        <v>2.8</v>
      </c>
      <c r="C19" s="15">
        <f>Datasheet!S23
</f>
        <v>3.5</v>
      </c>
    </row>
    <row r="20">
      <c r="A20" s="16">
        <v>2.0</v>
      </c>
      <c r="B20" s="15">
        <f>Datasheet!D24
</f>
        <v>3</v>
      </c>
      <c r="C20" s="15">
        <f>Datasheet!S24
</f>
        <v>3.5</v>
      </c>
    </row>
    <row r="21">
      <c r="A21" s="16">
        <v>2.0</v>
      </c>
      <c r="B21" s="15">
        <f>Datasheet!D25
</f>
        <v>2.8</v>
      </c>
      <c r="C21" s="15">
        <f>Datasheet!S25
</f>
        <v>3.5</v>
      </c>
    </row>
    <row r="22">
      <c r="A22" s="16">
        <v>3.0</v>
      </c>
      <c r="B22" s="15">
        <f>Datasheet!D27
</f>
        <v>3.2</v>
      </c>
      <c r="C22" s="15">
        <f>Datasheet!S27
</f>
        <v>4</v>
      </c>
    </row>
    <row r="23">
      <c r="A23" s="16">
        <v>3.0</v>
      </c>
      <c r="B23" s="15">
        <f>Datasheet!D28
</f>
        <v>2.8</v>
      </c>
      <c r="C23" s="15">
        <f>Datasheet!S28
</f>
        <v>3.5</v>
      </c>
    </row>
    <row r="24">
      <c r="A24" s="16">
        <v>3.0</v>
      </c>
      <c r="B24" s="15">
        <f>Datasheet!D29
</f>
        <v>3</v>
      </c>
      <c r="C24" s="15">
        <f>Datasheet!S29
</f>
        <v>4</v>
      </c>
    </row>
    <row r="25">
      <c r="A25" s="16">
        <v>3.0</v>
      </c>
      <c r="B25" s="15">
        <f>Datasheet!D30
</f>
        <v>2.9</v>
      </c>
      <c r="C25" s="15">
        <f>Datasheet!S30
</f>
        <v>3.5</v>
      </c>
    </row>
    <row r="26">
      <c r="A26" s="16">
        <v>3.0</v>
      </c>
      <c r="B26" s="15">
        <f>Datasheet!D31
</f>
        <v>3.4</v>
      </c>
      <c r="C26" s="15">
        <f>Datasheet!S31
</f>
        <v>4</v>
      </c>
    </row>
    <row r="27">
      <c r="A27" s="16">
        <v>3.0</v>
      </c>
      <c r="B27" s="15">
        <f>Datasheet!D32
</f>
        <v>2.6</v>
      </c>
      <c r="C27" s="15">
        <f>Datasheet!S32
</f>
        <v>4</v>
      </c>
    </row>
    <row r="28">
      <c r="A28" s="16">
        <v>3.0</v>
      </c>
      <c r="B28" s="15">
        <f>Datasheet!D33
</f>
        <v>3.1</v>
      </c>
      <c r="C28" s="15">
        <f>Datasheet!S33
</f>
        <v>4</v>
      </c>
    </row>
    <row r="29">
      <c r="A29" s="16">
        <v>3.0</v>
      </c>
      <c r="B29" s="15">
        <f>Datasheet!D34
</f>
        <v>3.2</v>
      </c>
      <c r="C29" s="15">
        <f>Datasheet!S34
</f>
        <v>4</v>
      </c>
    </row>
    <row r="30">
      <c r="A30" s="16">
        <v>3.0</v>
      </c>
      <c r="B30" s="15">
        <f>Datasheet!D35
</f>
        <v>3.2</v>
      </c>
      <c r="C30" s="15">
        <f>Datasheet!S35
</f>
        <v>3</v>
      </c>
    </row>
    <row r="31">
      <c r="A31" s="16">
        <v>3.0</v>
      </c>
      <c r="B31" s="15">
        <f>Datasheet!D36
</f>
        <v>3.2</v>
      </c>
      <c r="C31" s="15">
        <f>Datasheet!S36
</f>
        <v>4</v>
      </c>
    </row>
    <row r="32">
      <c r="A32" s="16">
        <v>4.0</v>
      </c>
      <c r="B32" s="15">
        <f>Datasheet!D38
</f>
        <v>3.4</v>
      </c>
      <c r="C32" s="18">
        <f>Datasheet!S38
</f>
        <v>4</v>
      </c>
    </row>
    <row r="33">
      <c r="A33" s="16">
        <v>4.0</v>
      </c>
      <c r="B33" s="15">
        <f>Datasheet!D39
</f>
        <v>3.5</v>
      </c>
      <c r="C33" s="18">
        <f>Datasheet!S39
</f>
        <v>4</v>
      </c>
    </row>
    <row r="34">
      <c r="A34" s="16">
        <v>4.0</v>
      </c>
      <c r="B34" s="15">
        <f>Datasheet!D40
</f>
        <v>4</v>
      </c>
      <c r="C34" s="18">
        <f>Datasheet!S40
</f>
        <v>4</v>
      </c>
    </row>
    <row r="35">
      <c r="A35" s="16">
        <v>4.0</v>
      </c>
      <c r="B35" s="15">
        <f>Datasheet!D41
</f>
        <v>2.9</v>
      </c>
      <c r="C35" s="18">
        <f>Datasheet!S41
</f>
        <v>3.5</v>
      </c>
    </row>
    <row r="36">
      <c r="A36" s="16">
        <v>4.0</v>
      </c>
      <c r="B36" s="15">
        <f>Datasheet!D42
</f>
        <v>3.1</v>
      </c>
      <c r="C36" s="18">
        <f>Datasheet!S42
</f>
        <v>4</v>
      </c>
    </row>
    <row r="37">
      <c r="A37" s="16">
        <v>4.0</v>
      </c>
      <c r="B37" s="15">
        <f>Datasheet!D43
</f>
        <v>3.3</v>
      </c>
      <c r="C37" s="18">
        <f>Datasheet!S43
</f>
        <v>4</v>
      </c>
    </row>
    <row r="38">
      <c r="A38" s="16">
        <v>4.0</v>
      </c>
      <c r="B38" s="15">
        <f>Datasheet!D44
</f>
        <v>3.1</v>
      </c>
      <c r="C38" s="18">
        <f>Datasheet!S44
</f>
        <v>3</v>
      </c>
    </row>
    <row r="39">
      <c r="A39" s="16">
        <v>4.0</v>
      </c>
      <c r="B39" s="15">
        <f>Datasheet!D45
</f>
        <v>2.9</v>
      </c>
      <c r="C39" s="18">
        <f>Datasheet!S45
</f>
        <v>3.5</v>
      </c>
    </row>
    <row r="40">
      <c r="A40" s="16">
        <v>4.0</v>
      </c>
      <c r="B40" s="15">
        <f>Datasheet!D46
</f>
        <v>3.7</v>
      </c>
      <c r="C40" s="18">
        <f>Datasheet!S46
</f>
        <v>3</v>
      </c>
    </row>
    <row r="41">
      <c r="A41" s="16">
        <v>4.0</v>
      </c>
      <c r="B41" s="15">
        <f>Datasheet!D47
</f>
        <v>3.4</v>
      </c>
      <c r="C41" s="18">
        <f>Datasheet!S47
</f>
        <v>4</v>
      </c>
    </row>
    <row r="42">
      <c r="A42" s="16">
        <v>5.0</v>
      </c>
      <c r="B42" s="18">
        <f>Datasheet!D49
</f>
        <v>3.9</v>
      </c>
      <c r="C42" s="18">
        <f>Datasheet!S49
</f>
        <v>4</v>
      </c>
    </row>
    <row r="43">
      <c r="A43" s="16">
        <v>5.0</v>
      </c>
      <c r="B43" s="18">
        <f>Datasheet!D50
</f>
        <v>3.8</v>
      </c>
      <c r="C43" s="18">
        <f>Datasheet!S50
</f>
        <v>4</v>
      </c>
    </row>
    <row r="44">
      <c r="A44" s="16">
        <v>5.0</v>
      </c>
      <c r="B44" s="18">
        <f>Datasheet!D51
</f>
        <v>3.6</v>
      </c>
      <c r="C44" s="18">
        <f>Datasheet!S51
</f>
        <v>4</v>
      </c>
    </row>
    <row r="45">
      <c r="A45" s="16">
        <v>5.0</v>
      </c>
      <c r="B45" s="18">
        <f>Datasheet!D52
</f>
        <v>3.6</v>
      </c>
      <c r="C45" s="18">
        <f>Datasheet!S52
</f>
        <v>4</v>
      </c>
    </row>
    <row r="46">
      <c r="A46" s="16">
        <v>5.0</v>
      </c>
      <c r="B46" s="18">
        <f>Datasheet!D53
</f>
        <v>3.4</v>
      </c>
      <c r="C46" s="18">
        <f>Datasheet!S53
</f>
        <v>4</v>
      </c>
    </row>
    <row r="47">
      <c r="A47" s="16">
        <v>5.0</v>
      </c>
      <c r="B47" s="18">
        <f>Datasheet!D54
</f>
        <v>3.9</v>
      </c>
      <c r="C47" s="18">
        <f>Datasheet!S54
</f>
        <v>4</v>
      </c>
    </row>
    <row r="48">
      <c r="A48" s="16">
        <v>5.0</v>
      </c>
      <c r="B48" s="18">
        <f>Datasheet!D55
</f>
        <v>3.8</v>
      </c>
      <c r="C48" s="18">
        <f>Datasheet!S55
</f>
        <v>4</v>
      </c>
    </row>
    <row r="49">
      <c r="A49" s="16">
        <v>5.0</v>
      </c>
      <c r="B49" s="18">
        <f>Datasheet!D56
</f>
        <v>3.6</v>
      </c>
      <c r="C49" s="18">
        <f>Datasheet!S56
</f>
        <v>4</v>
      </c>
    </row>
    <row r="50">
      <c r="A50" s="16">
        <v>5.0</v>
      </c>
      <c r="B50" s="18">
        <f>Datasheet!D57
</f>
        <v>4</v>
      </c>
      <c r="C50" s="18">
        <f>Datasheet!S57
</f>
        <v>3.5</v>
      </c>
    </row>
    <row r="51">
      <c r="A51" s="16">
        <v>5.0</v>
      </c>
      <c r="B51" s="18">
        <f>Datasheet!D58
</f>
        <v>3.8</v>
      </c>
      <c r="C51" s="18">
        <f>Datasheet!S58
</f>
        <v>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307</v>
      </c>
      <c r="B1" s="45" t="s">
        <v>310</v>
      </c>
      <c r="C1" s="45" t="s">
        <v>311</v>
      </c>
      <c r="D1" s="45" t="s">
        <v>303</v>
      </c>
      <c r="E1" s="45" t="s">
        <v>312</v>
      </c>
      <c r="F1" s="2" t="s">
        <v>313</v>
      </c>
    </row>
    <row r="2">
      <c r="A2" s="16">
        <v>1.0</v>
      </c>
      <c r="B2" s="15">
        <f>MIN(Plot!B3:B12)</f>
        <v>2.2</v>
      </c>
      <c r="C2" s="18">
        <f>QUARTILE(Plot!B3:B12,1)</f>
        <v>2.4</v>
      </c>
      <c r="D2" s="15">
        <f>MEDIAN(Plot!B3:B12)</f>
        <v>2.55</v>
      </c>
      <c r="E2" s="18">
        <f>QUARTILE(Plot!B3:B12,3)</f>
        <v>2.7</v>
      </c>
      <c r="F2" s="15">
        <f>MAX(Plot!B3:B12)</f>
        <v>2.8</v>
      </c>
    </row>
    <row r="3">
      <c r="A3" s="16">
        <v>2.0</v>
      </c>
      <c r="B3" s="15">
        <f>MIN(Plot!B15:B24)</f>
        <v>2.8</v>
      </c>
      <c r="C3" s="18">
        <f>QUARTILE(Plot!B15:B24,1)</f>
        <v>2.8</v>
      </c>
      <c r="D3" s="15">
        <f>MEDIAN(Plot!B15:B24)</f>
        <v>2.95</v>
      </c>
      <c r="E3" s="18">
        <f>QUARTILE(Plot!B15:B24,3)</f>
        <v>3.1</v>
      </c>
      <c r="F3" s="15">
        <f>MAX(Plot!B15:B24)</f>
        <v>3.2</v>
      </c>
    </row>
    <row r="4">
      <c r="A4" s="16">
        <v>3.0</v>
      </c>
      <c r="B4" s="15">
        <f>MIN(Plot!B27:B36)</f>
        <v>2.6</v>
      </c>
      <c r="C4" s="18">
        <f>QUARTILE(Plot!B27:B36,1)</f>
        <v>2.925</v>
      </c>
      <c r="D4" s="15">
        <f>MEDIAN(Plot!B27:B36)</f>
        <v>3.15</v>
      </c>
      <c r="E4" s="18">
        <f>QUARTILE(Plot!B27:B36,3)</f>
        <v>3.2</v>
      </c>
      <c r="F4" s="15">
        <f>MAX(Plot!B27:B36)</f>
        <v>3.4</v>
      </c>
    </row>
    <row r="5">
      <c r="A5" s="16">
        <v>4.0</v>
      </c>
      <c r="B5" s="15">
        <f>MIN(Plot!B39:B48)</f>
        <v>2.9</v>
      </c>
      <c r="C5" s="18">
        <f>QUARTILE(Plot!B39:B48,1)</f>
        <v>3.1</v>
      </c>
      <c r="D5" s="15">
        <f>MEDIAN(Plot!B39:B48)</f>
        <v>3.35</v>
      </c>
      <c r="E5" s="18">
        <f>QUARTILE(Plot!B39:B48,3)</f>
        <v>3.475</v>
      </c>
      <c r="F5" s="15">
        <f>MAX(Plot!B39:B48)</f>
        <v>4</v>
      </c>
    </row>
    <row r="6">
      <c r="A6" s="16">
        <v>5.0</v>
      </c>
      <c r="B6" s="18">
        <f>MIN(Plot!B51:B60)</f>
        <v>3.4</v>
      </c>
      <c r="C6" s="18">
        <f>QUARTILE(Plot!B51:B60,1)</f>
        <v>3.6</v>
      </c>
      <c r="D6" s="18">
        <f>MEDIAN(Plot!B51:B60)</f>
        <v>3.8</v>
      </c>
      <c r="E6" s="18">
        <f>QUARTILE(Plot!B51:B60,3)</f>
        <v>3.875</v>
      </c>
      <c r="F6" s="18">
        <f>MAX(Plot!B51:B60)</f>
        <v>4</v>
      </c>
    </row>
    <row r="10">
      <c r="A10" s="44" t="s">
        <v>307</v>
      </c>
      <c r="B10" s="44" t="s">
        <v>314</v>
      </c>
      <c r="C10" s="44" t="s">
        <v>315</v>
      </c>
      <c r="D10" s="44" t="s">
        <v>316</v>
      </c>
      <c r="E10" s="44" t="s">
        <v>317</v>
      </c>
      <c r="F10" s="44" t="s">
        <v>318</v>
      </c>
    </row>
    <row r="11">
      <c r="A11" s="16">
        <v>1.0</v>
      </c>
      <c r="B11" s="15">
        <f>MEDIAN(Datasheet!F5:F14)</f>
        <v>1.5</v>
      </c>
      <c r="C11" s="15">
        <f>MEDIAN(Datasheet!G5:G14)</f>
        <v>3</v>
      </c>
      <c r="D11" s="15">
        <f>MEDIAN(Datasheet!H5:H14)</f>
        <v>3</v>
      </c>
      <c r="E11" s="15">
        <f>MEDIAN(Datasheet!I5:I14)</f>
        <v>1</v>
      </c>
      <c r="F11" s="15">
        <f>MEDIAN(Datasheet!J5:J14)</f>
        <v>3.5</v>
      </c>
    </row>
    <row r="12">
      <c r="A12" s="16">
        <v>2.0</v>
      </c>
      <c r="B12" s="15">
        <f>MEDIAN(Datasheet!F16:F25)</f>
        <v>3</v>
      </c>
      <c r="C12" s="15">
        <f>MEDIAN(Datasheet!G16:G25)</f>
        <v>3.5</v>
      </c>
      <c r="D12" s="15">
        <f>MEDIAN(Datasheet!H16:H25)</f>
        <v>3</v>
      </c>
      <c r="E12" s="15">
        <f>MEDIAN(Datasheet!I16:I25)</f>
        <v>1</v>
      </c>
      <c r="F12" s="15">
        <f>MEDIAN(Datasheet!J16:J25)</f>
        <v>3.5</v>
      </c>
    </row>
    <row r="13">
      <c r="A13" s="16">
        <v>3.0</v>
      </c>
      <c r="B13" s="15">
        <f>MEDIAN(Datasheet!F27:F36)</f>
        <v>4</v>
      </c>
      <c r="C13" s="15">
        <f>MEDIAN(Datasheet!G27:G36)</f>
        <v>3</v>
      </c>
      <c r="D13" s="15">
        <f>MEDIAN(Datasheet!H27:H36)</f>
        <v>3</v>
      </c>
      <c r="E13" s="15">
        <f>MEDIAN(Datasheet!I27:I36)</f>
        <v>2</v>
      </c>
      <c r="F13" s="15">
        <f>MEDIAN(Datasheet!J27:J36)</f>
        <v>4</v>
      </c>
    </row>
    <row r="14">
      <c r="A14" s="16">
        <v>4.0</v>
      </c>
      <c r="B14" s="15">
        <f>MEDIAN(Datasheet!F38:F47)</f>
        <v>3</v>
      </c>
      <c r="C14" s="15">
        <f>MEDIAN(Datasheet!G38:G47)</f>
        <v>3</v>
      </c>
      <c r="D14" s="15">
        <f>MEDIAN(Datasheet!H38:H47)</f>
        <v>4</v>
      </c>
      <c r="E14" s="15">
        <f>MEDIAN(Datasheet!I38:I47)</f>
        <v>3</v>
      </c>
      <c r="F14" s="15">
        <f>MEDIAN(Datasheet!J38:J47)</f>
        <v>4</v>
      </c>
    </row>
    <row r="15">
      <c r="A15" s="16">
        <v>5.0</v>
      </c>
      <c r="B15" s="15">
        <f>MEDIAN(Datasheet!F49:F58)</f>
        <v>4</v>
      </c>
      <c r="C15" s="15">
        <f>MEDIAN(Datasheet!G49:G58)</f>
        <v>4</v>
      </c>
      <c r="D15" s="15">
        <f>MEDIAN(Datasheet!H49:H58)</f>
        <v>4</v>
      </c>
      <c r="E15" s="15">
        <f>MEDIAN(Datasheet!I49:I58)</f>
        <v>4</v>
      </c>
      <c r="F15" s="15">
        <f>MEDIAN(Datasheet!J49:J58)</f>
        <v>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307</v>
      </c>
      <c r="B1" s="2" t="s">
        <v>310</v>
      </c>
      <c r="C1" s="2" t="s">
        <v>311</v>
      </c>
      <c r="D1" s="2" t="s">
        <v>303</v>
      </c>
      <c r="E1" s="2" t="s">
        <v>312</v>
      </c>
      <c r="F1" s="2" t="s">
        <v>313</v>
      </c>
    </row>
    <row r="2">
      <c r="A2" s="46" t="s">
        <v>319</v>
      </c>
      <c r="B2" s="15">
        <f>MIN(Datasheet!S5:S14)</f>
        <v>2</v>
      </c>
      <c r="C2" s="18">
        <f>QUARTILE(Datasheet!S5:S14,1)</f>
        <v>2.5</v>
      </c>
      <c r="D2" s="15">
        <f>MEDIAN(Datasheet!S5:S14)</f>
        <v>3</v>
      </c>
      <c r="E2" s="18">
        <f>QUARTILE(Datasheet!S5:S14,3)</f>
        <v>3</v>
      </c>
      <c r="F2" s="15">
        <f>MAX(Datasheet!S5:S14)</f>
        <v>3.5</v>
      </c>
    </row>
    <row r="3">
      <c r="A3" s="46" t="s">
        <v>320</v>
      </c>
      <c r="B3" s="15">
        <f>MIN(Datasheet!S16:S25)</f>
        <v>3</v>
      </c>
      <c r="C3" s="18">
        <f>QUARTILE(Datasheet!S16:S25,1)</f>
        <v>3.5</v>
      </c>
      <c r="D3" s="15">
        <f>MEDIAN(Datasheet!S16:S25)</f>
        <v>4</v>
      </c>
      <c r="E3" s="18">
        <f>QUARTILE(Datasheet!S16:S25,3)</f>
        <v>4</v>
      </c>
      <c r="F3" s="15">
        <f>MAX(Datasheet!S16:S25)</f>
        <v>4</v>
      </c>
    </row>
    <row r="4">
      <c r="A4" s="46" t="s">
        <v>321</v>
      </c>
      <c r="B4" s="15">
        <f>MIN(Datasheet!S27:S36)</f>
        <v>3</v>
      </c>
      <c r="C4" s="18">
        <f>QUARTILE(Datasheet!S27:S36,1)</f>
        <v>3.625</v>
      </c>
      <c r="D4" s="15">
        <f>MEDIAN(Datasheet!S27:S36)</f>
        <v>4</v>
      </c>
      <c r="E4" s="18">
        <f>QUARTILE(Datasheet!S27:S36,3)</f>
        <v>4</v>
      </c>
      <c r="F4" s="15">
        <f>MAX(Datasheet!S27:S36)</f>
        <v>4</v>
      </c>
    </row>
    <row r="5">
      <c r="A5" s="46" t="s">
        <v>322</v>
      </c>
      <c r="B5" s="18">
        <f>MIN(Datasheet!S38:S47)</f>
        <v>3</v>
      </c>
      <c r="C5" s="18">
        <f>QUARTILE(Datasheet!S38:S47,1)</f>
        <v>3.5</v>
      </c>
      <c r="D5" s="18">
        <f>MEDIAN(Datasheet!S38:S47)</f>
        <v>4</v>
      </c>
      <c r="E5" s="18">
        <f>QUARTILE(Datasheet!S38:S47,3)</f>
        <v>4</v>
      </c>
      <c r="F5" s="18">
        <f>MAX(Datasheet!S38:S47)</f>
        <v>4</v>
      </c>
    </row>
    <row r="6">
      <c r="A6" s="46" t="s">
        <v>323</v>
      </c>
      <c r="B6" s="18">
        <f>MIN(Datasheet!S49:S58)</f>
        <v>3.5</v>
      </c>
      <c r="C6" s="18">
        <f>QUARTILE(Datasheet!S49:S58,1)</f>
        <v>4</v>
      </c>
      <c r="D6" s="18">
        <f>MEDIAN(Datasheet!S49:S58)</f>
        <v>4</v>
      </c>
      <c r="E6" s="18">
        <f>QUARTILE(Datasheet!S49:S58,3)</f>
        <v>4</v>
      </c>
      <c r="F6" s="18">
        <f>MAX(Datasheet!S49:S58)</f>
        <v>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1.88"/>
    <col customWidth="1" min="3" max="4" width="21.25"/>
    <col customWidth="1" min="5" max="5" width="18.38"/>
    <col customWidth="1" min="6" max="6" width="23.0"/>
    <col customWidth="1" min="7" max="7" width="45.0"/>
  </cols>
  <sheetData>
    <row r="1">
      <c r="A1" s="47" t="s">
        <v>324</v>
      </c>
      <c r="F1" s="48"/>
      <c r="G1" s="48"/>
    </row>
    <row r="2">
      <c r="A2" s="49" t="s">
        <v>325</v>
      </c>
      <c r="B2" s="49" t="s">
        <v>326</v>
      </c>
      <c r="F2" s="48"/>
      <c r="G2" s="48"/>
    </row>
    <row r="3">
      <c r="A3" s="48" t="s">
        <v>327</v>
      </c>
      <c r="B3" s="50" t="s">
        <v>328</v>
      </c>
      <c r="F3" s="48"/>
      <c r="G3" s="48"/>
    </row>
    <row r="4">
      <c r="A4" s="48" t="s">
        <v>329</v>
      </c>
      <c r="B4" s="50" t="s">
        <v>330</v>
      </c>
      <c r="F4" s="48"/>
      <c r="G4" s="48"/>
    </row>
    <row r="5">
      <c r="A5" s="48" t="s">
        <v>331</v>
      </c>
      <c r="B5" s="51" t="s">
        <v>332</v>
      </c>
      <c r="F5" s="48"/>
      <c r="G5" s="48"/>
    </row>
    <row r="6">
      <c r="A6" s="48" t="s">
        <v>333</v>
      </c>
      <c r="B6" s="50" t="s">
        <v>334</v>
      </c>
      <c r="F6" s="48"/>
      <c r="G6" s="48"/>
    </row>
    <row r="7">
      <c r="A7" s="48" t="s">
        <v>335</v>
      </c>
      <c r="B7" s="52" t="s">
        <v>336</v>
      </c>
      <c r="F7" s="48"/>
      <c r="G7" s="48"/>
    </row>
    <row r="8">
      <c r="A8" s="53" t="s">
        <v>337</v>
      </c>
      <c r="B8" s="50" t="s">
        <v>338</v>
      </c>
      <c r="F8" s="48"/>
      <c r="G8" s="48"/>
    </row>
    <row r="9">
      <c r="A9" s="48"/>
      <c r="B9" s="54"/>
      <c r="C9" s="48"/>
      <c r="D9" s="48"/>
      <c r="E9" s="48"/>
      <c r="F9" s="48"/>
      <c r="G9" s="48"/>
    </row>
    <row r="10">
      <c r="A10" s="42" t="s">
        <v>339</v>
      </c>
    </row>
    <row r="11">
      <c r="A11" s="49" t="s">
        <v>340</v>
      </c>
      <c r="B11" s="55" t="s">
        <v>327</v>
      </c>
      <c r="C11" s="55" t="s">
        <v>329</v>
      </c>
      <c r="D11" s="55" t="s">
        <v>331</v>
      </c>
      <c r="E11" s="55" t="s">
        <v>333</v>
      </c>
      <c r="F11" s="55" t="s">
        <v>335</v>
      </c>
      <c r="G11" s="55" t="s">
        <v>337</v>
      </c>
    </row>
    <row r="12">
      <c r="A12" s="1" t="s">
        <v>11</v>
      </c>
      <c r="B12" s="56" t="s">
        <v>341</v>
      </c>
      <c r="C12" s="57" t="s">
        <v>342</v>
      </c>
      <c r="D12" s="56" t="s">
        <v>343</v>
      </c>
      <c r="E12" s="58" t="s">
        <v>344</v>
      </c>
      <c r="F12" s="57" t="s">
        <v>345</v>
      </c>
      <c r="G12" s="56" t="s">
        <v>346</v>
      </c>
    </row>
    <row r="13">
      <c r="A13" s="1" t="s">
        <v>12</v>
      </c>
      <c r="B13" s="56" t="s">
        <v>347</v>
      </c>
      <c r="C13" s="56" t="s">
        <v>348</v>
      </c>
      <c r="D13" s="57" t="s">
        <v>349</v>
      </c>
      <c r="E13" s="57" t="s">
        <v>350</v>
      </c>
      <c r="F13" s="57" t="s">
        <v>351</v>
      </c>
      <c r="G13" s="56" t="s">
        <v>352</v>
      </c>
    </row>
    <row r="14">
      <c r="A14" s="1" t="s">
        <v>13</v>
      </c>
      <c r="B14" s="57" t="s">
        <v>353</v>
      </c>
      <c r="C14" s="59" t="s">
        <v>354</v>
      </c>
      <c r="D14" s="56" t="s">
        <v>355</v>
      </c>
      <c r="E14" s="56" t="s">
        <v>356</v>
      </c>
      <c r="F14" s="56" t="s">
        <v>357</v>
      </c>
      <c r="G14" s="60" t="s">
        <v>358</v>
      </c>
    </row>
    <row r="15">
      <c r="A15" s="1" t="s">
        <v>14</v>
      </c>
      <c r="B15" s="61" t="s">
        <v>359</v>
      </c>
      <c r="C15" s="56" t="s">
        <v>360</v>
      </c>
      <c r="D15" s="61" t="s">
        <v>361</v>
      </c>
      <c r="E15" s="56" t="s">
        <v>362</v>
      </c>
      <c r="F15" s="59" t="s">
        <v>363</v>
      </c>
      <c r="G15" s="56" t="s">
        <v>364</v>
      </c>
    </row>
    <row r="16">
      <c r="A16" s="1" t="s">
        <v>15</v>
      </c>
      <c r="B16" s="56" t="s">
        <v>365</v>
      </c>
      <c r="C16" s="56" t="s">
        <v>366</v>
      </c>
      <c r="D16" s="57" t="s">
        <v>367</v>
      </c>
      <c r="E16" s="57" t="s">
        <v>368</v>
      </c>
      <c r="F16" s="62" t="s">
        <v>369</v>
      </c>
      <c r="G16" s="56" t="s">
        <v>370</v>
      </c>
    </row>
    <row r="17">
      <c r="B17" s="63"/>
      <c r="D17" s="63"/>
      <c r="F17" s="63"/>
    </row>
  </sheetData>
  <mergeCells count="9">
    <mergeCell ref="B8:E8"/>
    <mergeCell ref="A10:G10"/>
    <mergeCell ref="A1:E1"/>
    <mergeCell ref="B2:E2"/>
    <mergeCell ref="B3:E3"/>
    <mergeCell ref="B4:E4"/>
    <mergeCell ref="B5:E5"/>
    <mergeCell ref="B6:E6"/>
    <mergeCell ref="B7:E7"/>
  </mergeCells>
  <drawing r:id="rId1"/>
</worksheet>
</file>